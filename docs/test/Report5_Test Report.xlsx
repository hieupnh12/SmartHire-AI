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Project\SmartHire-AI\docs\test\"/>
    </mc:Choice>
  </mc:AlternateContent>
  <xr:revisionPtr revIDLastSave="0" documentId="13_ncr:1_{882838F3-B741-4549-BD7E-BB9804D96427}" xr6:coauthVersionLast="47" xr6:coauthVersionMax="47" xr10:uidLastSave="{00000000-0000-0000-0000-000000000000}"/>
  <bookViews>
    <workbookView xWindow="-23148" yWindow="-108" windowWidth="23256" windowHeight="12456" tabRatio="821" xr2:uid="{00000000-000D-0000-FFFF-FFFF00000000}"/>
  </bookViews>
  <sheets>
    <sheet name="Cover" sheetId="1" r:id="rId1"/>
    <sheet name="Test Cases" sheetId="2" r:id="rId2"/>
    <sheet name="Test Statistics" sheetId="3" r:id="rId3"/>
    <sheet name="MASTER-01" sheetId="4" r:id="rId4"/>
    <sheet name="MASTER-02" sheetId="5" r:id="rId5"/>
    <sheet name="MASTER-03" sheetId="6" r:id="rId6"/>
    <sheet name="MASTER-04" sheetId="7" r:id="rId7"/>
    <sheet name="MASTER-05" sheetId="8" r:id="rId8"/>
    <sheet name="MASTER-06" sheetId="9" r:id="rId9"/>
    <sheet name="MASTER-07" sheetId="10" r:id="rId10"/>
    <sheet name="MASTER-08" sheetId="11" r:id="rId11"/>
    <sheet name="ASSESS-01" sheetId="12" r:id="rId12"/>
    <sheet name="ASSESS-02" sheetId="13" r:id="rId13"/>
    <sheet name="ASSESS-03" sheetId="14" r:id="rId14"/>
    <sheet name="ASSESS-04" sheetId="15" r:id="rId15"/>
    <sheet name="ASSESS-05" sheetId="16" r:id="rId16"/>
    <sheet name="AUTH-01" sheetId="17" r:id="rId17"/>
    <sheet name="AUTH-02" sheetId="18" r:id="rId18"/>
    <sheet name="AUTH-03" sheetId="19" r:id="rId19"/>
    <sheet name="AUTH-04" sheetId="20" r:id="rId20"/>
    <sheet name="AUTH-05" sheetId="21" r:id="rId21"/>
    <sheet name="COMPANY-01" sheetId="22" r:id="rId22"/>
    <sheet name="COMPANY-02" sheetId="23" r:id="rId23"/>
    <sheet name="COMPANY-02-Tenant-Landing-Page" sheetId="24" r:id="rId24"/>
    <sheet name="CV-01" sheetId="25" r:id="rId25"/>
    <sheet name="CV-02" sheetId="26" r:id="rId26"/>
    <sheet name="CV-03" sheetId="27" r:id="rId27"/>
    <sheet name="CV-04" sheetId="28" r:id="rId28"/>
    <sheet name="CV-05" sheetId="29" r:id="rId29"/>
    <sheet name="CV-06" sheetId="30" r:id="rId30"/>
    <sheet name="DASH-01" sheetId="31" r:id="rId31"/>
    <sheet name="DASH-02" sheetId="32" r:id="rId32"/>
    <sheet name="DASH-03" sheetId="33" r:id="rId33"/>
    <sheet name="INT-01" sheetId="34" r:id="rId34"/>
    <sheet name="INT-02" sheetId="35" r:id="rId35"/>
    <sheet name="INT-03" sheetId="36" r:id="rId36"/>
    <sheet name="INT-04" sheetId="37" r:id="rId37"/>
    <sheet name="INT-05" sheetId="38" r:id="rId38"/>
    <sheet name="JOB-01" sheetId="39" r:id="rId39"/>
    <sheet name="JOB-02" sheetId="40" r:id="rId40"/>
    <sheet name="JOB-03" sheetId="41" r:id="rId41"/>
    <sheet name="JOB-04" sheetId="42" r:id="rId42"/>
    <sheet name="JOB-05" sheetId="43" r:id="rId43"/>
    <sheet name="JOB-06" sheetId="44" r:id="rId44"/>
    <sheet name="PRACT-01" sheetId="45" r:id="rId45"/>
    <sheet name="PRACT-02" sheetId="46" r:id="rId46"/>
    <sheet name="PRACT-03" sheetId="47" r:id="rId47"/>
    <sheet name="RANK-01" sheetId="48" r:id="rId48"/>
    <sheet name="RANK-02" sheetId="49" r:id="rId49"/>
    <sheet name="RANK-03" sheetId="50" r:id="rId50"/>
    <sheet name="SCHED-01" sheetId="51" r:id="rId51"/>
    <sheet name="SCHED-02" sheetId="52" r:id="rId52"/>
    <sheet name="SCHED-03" sheetId="53" r:id="rId53"/>
    <sheet name="WF-01" sheetId="54" r:id="rId54"/>
    <sheet name="WF-02" sheetId="55" r:id="rId55"/>
    <sheet name="WF-03" sheetId="56" r:id="rId56"/>
    <sheet name="_Template" sheetId="57" state="hidden" r:id="rId57"/>
    <sheet name="_Progress" sheetId="58" state="hidden" r:id="rId58"/>
  </sheets>
  <definedNames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57" l="1"/>
  <c r="D8" i="57"/>
  <c r="C8" i="57"/>
  <c r="B8" i="57"/>
  <c r="E7" i="57"/>
  <c r="D7" i="57"/>
  <c r="C7" i="57"/>
  <c r="B7" i="57"/>
  <c r="E6" i="57"/>
  <c r="D6" i="57"/>
  <c r="C6" i="57"/>
  <c r="B6" i="57"/>
  <c r="B4" i="57"/>
  <c r="E8" i="56"/>
  <c r="D8" i="56"/>
  <c r="C8" i="56"/>
  <c r="B8" i="56"/>
  <c r="E7" i="56"/>
  <c r="D7" i="56"/>
  <c r="C7" i="56"/>
  <c r="B7" i="56"/>
  <c r="E6" i="56"/>
  <c r="D6" i="56"/>
  <c r="C6" i="56"/>
  <c r="B6" i="56"/>
  <c r="B4" i="56"/>
  <c r="E8" i="55"/>
  <c r="D8" i="55"/>
  <c r="C8" i="55"/>
  <c r="B8" i="55"/>
  <c r="E7" i="55"/>
  <c r="D7" i="55"/>
  <c r="C7" i="55"/>
  <c r="B7" i="55"/>
  <c r="E6" i="55"/>
  <c r="D6" i="55"/>
  <c r="C6" i="55"/>
  <c r="B6" i="55"/>
  <c r="B4" i="55"/>
  <c r="E8" i="54"/>
  <c r="D8" i="54"/>
  <c r="C8" i="54"/>
  <c r="B8" i="54"/>
  <c r="E7" i="54"/>
  <c r="D7" i="54"/>
  <c r="C7" i="54"/>
  <c r="B7" i="54"/>
  <c r="E6" i="54"/>
  <c r="D6" i="54"/>
  <c r="C6" i="54"/>
  <c r="B6" i="54"/>
  <c r="B4" i="54"/>
  <c r="E8" i="53"/>
  <c r="D8" i="53"/>
  <c r="C8" i="53"/>
  <c r="B8" i="53"/>
  <c r="E7" i="53"/>
  <c r="D7" i="53"/>
  <c r="C7" i="53"/>
  <c r="B7" i="53"/>
  <c r="E6" i="53"/>
  <c r="D6" i="53"/>
  <c r="C6" i="53"/>
  <c r="B6" i="53"/>
  <c r="B4" i="53"/>
  <c r="E8" i="52"/>
  <c r="D8" i="52"/>
  <c r="C8" i="52"/>
  <c r="B8" i="52"/>
  <c r="E7" i="52"/>
  <c r="D7" i="52"/>
  <c r="C7" i="52"/>
  <c r="B7" i="52"/>
  <c r="E6" i="52"/>
  <c r="D6" i="52"/>
  <c r="C6" i="52"/>
  <c r="B6" i="52"/>
  <c r="B4" i="52"/>
  <c r="E8" i="51"/>
  <c r="D8" i="51"/>
  <c r="C8" i="51"/>
  <c r="B8" i="51"/>
  <c r="E7" i="51"/>
  <c r="D7" i="51"/>
  <c r="C7" i="51"/>
  <c r="B7" i="51"/>
  <c r="E6" i="51"/>
  <c r="D6" i="51"/>
  <c r="C6" i="51"/>
  <c r="B6" i="51"/>
  <c r="B4" i="51"/>
  <c r="E8" i="50"/>
  <c r="D8" i="50"/>
  <c r="C8" i="50"/>
  <c r="B8" i="50"/>
  <c r="E7" i="50"/>
  <c r="D7" i="50"/>
  <c r="C7" i="50"/>
  <c r="B7" i="50"/>
  <c r="E6" i="50"/>
  <c r="D6" i="50"/>
  <c r="C6" i="50"/>
  <c r="B6" i="50"/>
  <c r="B4" i="50"/>
  <c r="E8" i="49"/>
  <c r="D8" i="49"/>
  <c r="C8" i="49"/>
  <c r="B8" i="49"/>
  <c r="E7" i="49"/>
  <c r="D7" i="49"/>
  <c r="C7" i="49"/>
  <c r="B7" i="49"/>
  <c r="E6" i="49"/>
  <c r="D6" i="49"/>
  <c r="C6" i="49"/>
  <c r="B6" i="49"/>
  <c r="B4" i="49"/>
  <c r="E8" i="48"/>
  <c r="D8" i="48"/>
  <c r="C8" i="48"/>
  <c r="B8" i="48"/>
  <c r="E7" i="48"/>
  <c r="D7" i="48"/>
  <c r="C7" i="48"/>
  <c r="B7" i="48"/>
  <c r="E6" i="48"/>
  <c r="D6" i="48"/>
  <c r="C6" i="48"/>
  <c r="B6" i="48"/>
  <c r="B4" i="48"/>
  <c r="E8" i="47"/>
  <c r="D8" i="47"/>
  <c r="C8" i="47"/>
  <c r="B8" i="47"/>
  <c r="E7" i="47"/>
  <c r="D7" i="47"/>
  <c r="C7" i="47"/>
  <c r="B7" i="47"/>
  <c r="E6" i="47"/>
  <c r="D6" i="47"/>
  <c r="C6" i="47"/>
  <c r="B6" i="47"/>
  <c r="B4" i="47"/>
  <c r="E8" i="46"/>
  <c r="D8" i="46"/>
  <c r="C8" i="46"/>
  <c r="B8" i="46"/>
  <c r="E7" i="46"/>
  <c r="D7" i="46"/>
  <c r="C7" i="46"/>
  <c r="B7" i="46"/>
  <c r="E6" i="46"/>
  <c r="D6" i="46"/>
  <c r="C6" i="46"/>
  <c r="B6" i="46"/>
  <c r="B4" i="46"/>
  <c r="E8" i="45"/>
  <c r="D8" i="45"/>
  <c r="C8" i="45"/>
  <c r="B8" i="45"/>
  <c r="E7" i="45"/>
  <c r="D7" i="45"/>
  <c r="C7" i="45"/>
  <c r="B7" i="45"/>
  <c r="E6" i="45"/>
  <c r="G52" i="3" s="1"/>
  <c r="D6" i="45"/>
  <c r="F52" i="3" s="1"/>
  <c r="C6" i="45"/>
  <c r="E52" i="3" s="1"/>
  <c r="B6" i="45"/>
  <c r="D52" i="3" s="1"/>
  <c r="B4" i="45"/>
  <c r="H52" i="3" s="1"/>
  <c r="E8" i="44"/>
  <c r="D8" i="44"/>
  <c r="C8" i="44"/>
  <c r="B8" i="44"/>
  <c r="E7" i="44"/>
  <c r="D7" i="44"/>
  <c r="C7" i="44"/>
  <c r="B7" i="44"/>
  <c r="E6" i="44"/>
  <c r="G51" i="3" s="1"/>
  <c r="D6" i="44"/>
  <c r="F51" i="3" s="1"/>
  <c r="C6" i="44"/>
  <c r="E51" i="3" s="1"/>
  <c r="B6" i="44"/>
  <c r="D51" i="3" s="1"/>
  <c r="B4" i="44"/>
  <c r="H51" i="3" s="1"/>
  <c r="E8" i="43"/>
  <c r="D8" i="43"/>
  <c r="C8" i="43"/>
  <c r="B8" i="43"/>
  <c r="E7" i="43"/>
  <c r="D7" i="43"/>
  <c r="C7" i="43"/>
  <c r="B7" i="43"/>
  <c r="E6" i="43"/>
  <c r="G50" i="3" s="1"/>
  <c r="D6" i="43"/>
  <c r="F50" i="3" s="1"/>
  <c r="C6" i="43"/>
  <c r="E50" i="3" s="1"/>
  <c r="B6" i="43"/>
  <c r="D50" i="3" s="1"/>
  <c r="B4" i="43"/>
  <c r="H50" i="3" s="1"/>
  <c r="E8" i="42"/>
  <c r="D8" i="42"/>
  <c r="C8" i="42"/>
  <c r="B8" i="42"/>
  <c r="E7" i="42"/>
  <c r="D7" i="42"/>
  <c r="C7" i="42"/>
  <c r="B7" i="42"/>
  <c r="E6" i="42"/>
  <c r="G49" i="3" s="1"/>
  <c r="D6" i="42"/>
  <c r="F49" i="3" s="1"/>
  <c r="C6" i="42"/>
  <c r="E49" i="3" s="1"/>
  <c r="B6" i="42"/>
  <c r="D49" i="3" s="1"/>
  <c r="B4" i="42"/>
  <c r="H49" i="3" s="1"/>
  <c r="E8" i="41"/>
  <c r="D8" i="41"/>
  <c r="C8" i="41"/>
  <c r="B8" i="41"/>
  <c r="E7" i="41"/>
  <c r="D7" i="41"/>
  <c r="C7" i="41"/>
  <c r="B7" i="41"/>
  <c r="E6" i="41"/>
  <c r="G48" i="3" s="1"/>
  <c r="D6" i="41"/>
  <c r="F48" i="3" s="1"/>
  <c r="C6" i="41"/>
  <c r="E48" i="3" s="1"/>
  <c r="B6" i="41"/>
  <c r="D48" i="3" s="1"/>
  <c r="B4" i="41"/>
  <c r="H48" i="3" s="1"/>
  <c r="E8" i="40"/>
  <c r="D8" i="40"/>
  <c r="C8" i="40"/>
  <c r="B8" i="40"/>
  <c r="E7" i="40"/>
  <c r="D7" i="40"/>
  <c r="C7" i="40"/>
  <c r="B7" i="40"/>
  <c r="E6" i="40"/>
  <c r="G47" i="3" s="1"/>
  <c r="D6" i="40"/>
  <c r="F47" i="3" s="1"/>
  <c r="C6" i="40"/>
  <c r="E47" i="3" s="1"/>
  <c r="B6" i="40"/>
  <c r="D47" i="3" s="1"/>
  <c r="B4" i="40"/>
  <c r="H47" i="3" s="1"/>
  <c r="E8" i="39"/>
  <c r="D8" i="39"/>
  <c r="C8" i="39"/>
  <c r="B8" i="39"/>
  <c r="E7" i="39"/>
  <c r="D7" i="39"/>
  <c r="C7" i="39"/>
  <c r="B7" i="39"/>
  <c r="E6" i="39"/>
  <c r="G46" i="3" s="1"/>
  <c r="D6" i="39"/>
  <c r="F46" i="3" s="1"/>
  <c r="C6" i="39"/>
  <c r="E46" i="3" s="1"/>
  <c r="B6" i="39"/>
  <c r="D46" i="3" s="1"/>
  <c r="B4" i="39"/>
  <c r="H46" i="3" s="1"/>
  <c r="E8" i="38"/>
  <c r="D8" i="38"/>
  <c r="C8" i="38"/>
  <c r="B8" i="38"/>
  <c r="E7" i="38"/>
  <c r="D7" i="38"/>
  <c r="C7" i="38"/>
  <c r="B7" i="38"/>
  <c r="E6" i="38"/>
  <c r="G45" i="3" s="1"/>
  <c r="D6" i="38"/>
  <c r="F45" i="3" s="1"/>
  <c r="C6" i="38"/>
  <c r="E45" i="3" s="1"/>
  <c r="B6" i="38"/>
  <c r="D45" i="3" s="1"/>
  <c r="B4" i="38"/>
  <c r="H45" i="3" s="1"/>
  <c r="E8" i="37"/>
  <c r="D8" i="37"/>
  <c r="C8" i="37"/>
  <c r="B8" i="37"/>
  <c r="E7" i="37"/>
  <c r="D7" i="37"/>
  <c r="C7" i="37"/>
  <c r="B7" i="37"/>
  <c r="E6" i="37"/>
  <c r="G44" i="3" s="1"/>
  <c r="D6" i="37"/>
  <c r="F44" i="3" s="1"/>
  <c r="C6" i="37"/>
  <c r="E44" i="3" s="1"/>
  <c r="B6" i="37"/>
  <c r="D44" i="3" s="1"/>
  <c r="B4" i="37"/>
  <c r="H44" i="3" s="1"/>
  <c r="E8" i="36"/>
  <c r="D8" i="36"/>
  <c r="C8" i="36"/>
  <c r="B8" i="36"/>
  <c r="E7" i="36"/>
  <c r="D7" i="36"/>
  <c r="C7" i="36"/>
  <c r="B7" i="36"/>
  <c r="E6" i="36"/>
  <c r="G43" i="3" s="1"/>
  <c r="D6" i="36"/>
  <c r="F43" i="3" s="1"/>
  <c r="C6" i="36"/>
  <c r="E43" i="3" s="1"/>
  <c r="B6" i="36"/>
  <c r="D43" i="3" s="1"/>
  <c r="B4" i="36"/>
  <c r="H43" i="3" s="1"/>
  <c r="E8" i="35"/>
  <c r="D8" i="35"/>
  <c r="C8" i="35"/>
  <c r="B8" i="35"/>
  <c r="E7" i="35"/>
  <c r="D7" i="35"/>
  <c r="C7" i="35"/>
  <c r="B7" i="35"/>
  <c r="E6" i="35"/>
  <c r="G42" i="3" s="1"/>
  <c r="D6" i="35"/>
  <c r="F42" i="3" s="1"/>
  <c r="C6" i="35"/>
  <c r="E42" i="3" s="1"/>
  <c r="B6" i="35"/>
  <c r="D42" i="3" s="1"/>
  <c r="B4" i="35"/>
  <c r="H42" i="3" s="1"/>
  <c r="E8" i="34"/>
  <c r="D8" i="34"/>
  <c r="C8" i="34"/>
  <c r="B8" i="34"/>
  <c r="E7" i="34"/>
  <c r="D7" i="34"/>
  <c r="C7" i="34"/>
  <c r="B7" i="34"/>
  <c r="E6" i="34"/>
  <c r="G41" i="3" s="1"/>
  <c r="D6" i="34"/>
  <c r="F41" i="3" s="1"/>
  <c r="C6" i="34"/>
  <c r="E41" i="3" s="1"/>
  <c r="B6" i="34"/>
  <c r="D41" i="3" s="1"/>
  <c r="B4" i="34"/>
  <c r="H41" i="3" s="1"/>
  <c r="E8" i="33"/>
  <c r="D8" i="33"/>
  <c r="C8" i="33"/>
  <c r="B8" i="33"/>
  <c r="E7" i="33"/>
  <c r="D7" i="33"/>
  <c r="C7" i="33"/>
  <c r="B7" i="33"/>
  <c r="E6" i="33"/>
  <c r="G40" i="3" s="1"/>
  <c r="D6" i="33"/>
  <c r="F40" i="3" s="1"/>
  <c r="C6" i="33"/>
  <c r="E40" i="3" s="1"/>
  <c r="B6" i="33"/>
  <c r="D40" i="3" s="1"/>
  <c r="B4" i="33"/>
  <c r="H40" i="3" s="1"/>
  <c r="E8" i="32"/>
  <c r="D8" i="32"/>
  <c r="C8" i="32"/>
  <c r="B8" i="32"/>
  <c r="E7" i="32"/>
  <c r="D7" i="32"/>
  <c r="C7" i="32"/>
  <c r="B7" i="32"/>
  <c r="E6" i="32"/>
  <c r="G39" i="3" s="1"/>
  <c r="D6" i="32"/>
  <c r="F39" i="3" s="1"/>
  <c r="C6" i="32"/>
  <c r="E39" i="3" s="1"/>
  <c r="B6" i="32"/>
  <c r="D39" i="3" s="1"/>
  <c r="B4" i="32"/>
  <c r="H39" i="3" s="1"/>
  <c r="E8" i="31"/>
  <c r="D8" i="31"/>
  <c r="C8" i="31"/>
  <c r="B8" i="31"/>
  <c r="E7" i="31"/>
  <c r="D7" i="31"/>
  <c r="C7" i="31"/>
  <c r="B7" i="31"/>
  <c r="E6" i="31"/>
  <c r="G38" i="3" s="1"/>
  <c r="D6" i="31"/>
  <c r="F38" i="3" s="1"/>
  <c r="C6" i="31"/>
  <c r="E38" i="3" s="1"/>
  <c r="B6" i="31"/>
  <c r="D38" i="3" s="1"/>
  <c r="B4" i="31"/>
  <c r="H38" i="3" s="1"/>
  <c r="E8" i="30"/>
  <c r="D8" i="30"/>
  <c r="C8" i="30"/>
  <c r="B8" i="30"/>
  <c r="E7" i="30"/>
  <c r="D7" i="30"/>
  <c r="C7" i="30"/>
  <c r="B7" i="30"/>
  <c r="E6" i="30"/>
  <c r="G37" i="3" s="1"/>
  <c r="D6" i="30"/>
  <c r="F37" i="3" s="1"/>
  <c r="C6" i="30"/>
  <c r="E37" i="3" s="1"/>
  <c r="B6" i="30"/>
  <c r="D37" i="3" s="1"/>
  <c r="B4" i="30"/>
  <c r="H37" i="3" s="1"/>
  <c r="E8" i="29"/>
  <c r="D8" i="29"/>
  <c r="C8" i="29"/>
  <c r="B8" i="29"/>
  <c r="E7" i="29"/>
  <c r="D7" i="29"/>
  <c r="C7" i="29"/>
  <c r="B7" i="29"/>
  <c r="E6" i="29"/>
  <c r="G36" i="3" s="1"/>
  <c r="D6" i="29"/>
  <c r="F36" i="3" s="1"/>
  <c r="C6" i="29"/>
  <c r="E36" i="3" s="1"/>
  <c r="B6" i="29"/>
  <c r="D36" i="3" s="1"/>
  <c r="B4" i="29"/>
  <c r="H36" i="3" s="1"/>
  <c r="E8" i="28"/>
  <c r="D8" i="28"/>
  <c r="C8" i="28"/>
  <c r="B8" i="28"/>
  <c r="E7" i="28"/>
  <c r="D7" i="28"/>
  <c r="C7" i="28"/>
  <c r="B7" i="28"/>
  <c r="E6" i="28"/>
  <c r="G35" i="3" s="1"/>
  <c r="D6" i="28"/>
  <c r="F35" i="3" s="1"/>
  <c r="C6" i="28"/>
  <c r="E35" i="3" s="1"/>
  <c r="B6" i="28"/>
  <c r="D35" i="3" s="1"/>
  <c r="B4" i="28"/>
  <c r="H35" i="3" s="1"/>
  <c r="E8" i="27"/>
  <c r="D8" i="27"/>
  <c r="C8" i="27"/>
  <c r="B8" i="27"/>
  <c r="E7" i="27"/>
  <c r="D7" i="27"/>
  <c r="C7" i="27"/>
  <c r="B7" i="27"/>
  <c r="E6" i="27"/>
  <c r="G34" i="3" s="1"/>
  <c r="D6" i="27"/>
  <c r="F34" i="3" s="1"/>
  <c r="C6" i="27"/>
  <c r="E34" i="3" s="1"/>
  <c r="B6" i="27"/>
  <c r="D34" i="3" s="1"/>
  <c r="B4" i="27"/>
  <c r="H34" i="3" s="1"/>
  <c r="E8" i="26"/>
  <c r="D8" i="26"/>
  <c r="C8" i="26"/>
  <c r="B8" i="26"/>
  <c r="E7" i="26"/>
  <c r="D7" i="26"/>
  <c r="C7" i="26"/>
  <c r="B7" i="26"/>
  <c r="E6" i="26"/>
  <c r="G33" i="3" s="1"/>
  <c r="D6" i="26"/>
  <c r="F33" i="3" s="1"/>
  <c r="C6" i="26"/>
  <c r="E33" i="3" s="1"/>
  <c r="B6" i="26"/>
  <c r="D33" i="3" s="1"/>
  <c r="B4" i="26"/>
  <c r="H33" i="3" s="1"/>
  <c r="E8" i="25"/>
  <c r="D8" i="25"/>
  <c r="C8" i="25"/>
  <c r="B8" i="25"/>
  <c r="E7" i="25"/>
  <c r="D7" i="25"/>
  <c r="C7" i="25"/>
  <c r="B7" i="25"/>
  <c r="E6" i="25"/>
  <c r="G32" i="3" s="1"/>
  <c r="D6" i="25"/>
  <c r="F32" i="3" s="1"/>
  <c r="C6" i="25"/>
  <c r="E32" i="3" s="1"/>
  <c r="B6" i="25"/>
  <c r="D32" i="3" s="1"/>
  <c r="B4" i="25"/>
  <c r="H32" i="3" s="1"/>
  <c r="E8" i="24"/>
  <c r="D8" i="24"/>
  <c r="C8" i="24"/>
  <c r="B8" i="24"/>
  <c r="E7" i="24"/>
  <c r="D7" i="24"/>
  <c r="C7" i="24"/>
  <c r="B7" i="24"/>
  <c r="E6" i="24"/>
  <c r="G31" i="3" s="1"/>
  <c r="D6" i="24"/>
  <c r="F31" i="3" s="1"/>
  <c r="C6" i="24"/>
  <c r="E31" i="3" s="1"/>
  <c r="B6" i="24"/>
  <c r="D31" i="3" s="1"/>
  <c r="B4" i="24"/>
  <c r="H31" i="3" s="1"/>
  <c r="E8" i="23"/>
  <c r="D8" i="23"/>
  <c r="C8" i="23"/>
  <c r="B8" i="23"/>
  <c r="E7" i="23"/>
  <c r="D7" i="23"/>
  <c r="C7" i="23"/>
  <c r="B7" i="23"/>
  <c r="E6" i="23"/>
  <c r="G30" i="3" s="1"/>
  <c r="D6" i="23"/>
  <c r="F30" i="3" s="1"/>
  <c r="C6" i="23"/>
  <c r="E30" i="3" s="1"/>
  <c r="B6" i="23"/>
  <c r="D30" i="3" s="1"/>
  <c r="B4" i="23"/>
  <c r="H30" i="3" s="1"/>
  <c r="E8" i="22"/>
  <c r="D8" i="22"/>
  <c r="C8" i="22"/>
  <c r="B8" i="22"/>
  <c r="E7" i="22"/>
  <c r="D7" i="22"/>
  <c r="C7" i="22"/>
  <c r="B7" i="22"/>
  <c r="E6" i="22"/>
  <c r="G29" i="3" s="1"/>
  <c r="D6" i="22"/>
  <c r="F29" i="3" s="1"/>
  <c r="C6" i="22"/>
  <c r="E29" i="3" s="1"/>
  <c r="B6" i="22"/>
  <c r="D29" i="3" s="1"/>
  <c r="B4" i="22"/>
  <c r="H29" i="3" s="1"/>
  <c r="E8" i="21"/>
  <c r="D8" i="21"/>
  <c r="C8" i="21"/>
  <c r="B8" i="21"/>
  <c r="E7" i="21"/>
  <c r="D7" i="21"/>
  <c r="C7" i="21"/>
  <c r="B7" i="21"/>
  <c r="E6" i="21"/>
  <c r="G28" i="3" s="1"/>
  <c r="D6" i="21"/>
  <c r="F28" i="3" s="1"/>
  <c r="C6" i="21"/>
  <c r="E28" i="3" s="1"/>
  <c r="B6" i="21"/>
  <c r="D28" i="3" s="1"/>
  <c r="B4" i="21"/>
  <c r="H28" i="3" s="1"/>
  <c r="E8" i="20"/>
  <c r="D8" i="20"/>
  <c r="C8" i="20"/>
  <c r="B8" i="20"/>
  <c r="E7" i="20"/>
  <c r="D7" i="20"/>
  <c r="C7" i="20"/>
  <c r="B7" i="20"/>
  <c r="E6" i="20"/>
  <c r="G27" i="3" s="1"/>
  <c r="D6" i="20"/>
  <c r="F27" i="3" s="1"/>
  <c r="C6" i="20"/>
  <c r="E27" i="3" s="1"/>
  <c r="B6" i="20"/>
  <c r="D27" i="3" s="1"/>
  <c r="B4" i="20"/>
  <c r="H27" i="3" s="1"/>
  <c r="E8" i="19"/>
  <c r="D8" i="19"/>
  <c r="C8" i="19"/>
  <c r="B8" i="19"/>
  <c r="E7" i="19"/>
  <c r="D7" i="19"/>
  <c r="C7" i="19"/>
  <c r="B7" i="19"/>
  <c r="E6" i="19"/>
  <c r="G26" i="3" s="1"/>
  <c r="D6" i="19"/>
  <c r="F26" i="3" s="1"/>
  <c r="C6" i="19"/>
  <c r="E26" i="3" s="1"/>
  <c r="B6" i="19"/>
  <c r="D26" i="3" s="1"/>
  <c r="B4" i="19"/>
  <c r="H26" i="3" s="1"/>
  <c r="E8" i="18"/>
  <c r="D8" i="18"/>
  <c r="C8" i="18"/>
  <c r="B8" i="18"/>
  <c r="E7" i="18"/>
  <c r="D7" i="18"/>
  <c r="C7" i="18"/>
  <c r="B7" i="18"/>
  <c r="E6" i="18"/>
  <c r="G25" i="3" s="1"/>
  <c r="D6" i="18"/>
  <c r="F25" i="3" s="1"/>
  <c r="C6" i="18"/>
  <c r="E25" i="3" s="1"/>
  <c r="B6" i="18"/>
  <c r="D25" i="3" s="1"/>
  <c r="B4" i="18"/>
  <c r="H25" i="3" s="1"/>
  <c r="E8" i="17"/>
  <c r="D8" i="17"/>
  <c r="C8" i="17"/>
  <c r="B8" i="17"/>
  <c r="E7" i="17"/>
  <c r="D7" i="17"/>
  <c r="C7" i="17"/>
  <c r="B7" i="17"/>
  <c r="E6" i="17"/>
  <c r="G24" i="3" s="1"/>
  <c r="D6" i="17"/>
  <c r="F24" i="3" s="1"/>
  <c r="C6" i="17"/>
  <c r="E24" i="3" s="1"/>
  <c r="B6" i="17"/>
  <c r="D24" i="3" s="1"/>
  <c r="B4" i="17"/>
  <c r="H24" i="3" s="1"/>
  <c r="E8" i="16"/>
  <c r="D8" i="16"/>
  <c r="C8" i="16"/>
  <c r="B8" i="16"/>
  <c r="E7" i="16"/>
  <c r="D7" i="16"/>
  <c r="C7" i="16"/>
  <c r="B7" i="16"/>
  <c r="E6" i="16"/>
  <c r="G23" i="3" s="1"/>
  <c r="D6" i="16"/>
  <c r="F23" i="3" s="1"/>
  <c r="C6" i="16"/>
  <c r="E23" i="3" s="1"/>
  <c r="B6" i="16"/>
  <c r="D23" i="3" s="1"/>
  <c r="B4" i="16"/>
  <c r="H23" i="3" s="1"/>
  <c r="E8" i="15"/>
  <c r="D8" i="15"/>
  <c r="C8" i="15"/>
  <c r="B8" i="15"/>
  <c r="E7" i="15"/>
  <c r="D7" i="15"/>
  <c r="C7" i="15"/>
  <c r="B7" i="15"/>
  <c r="E6" i="15"/>
  <c r="G22" i="3" s="1"/>
  <c r="D6" i="15"/>
  <c r="F22" i="3" s="1"/>
  <c r="C6" i="15"/>
  <c r="E22" i="3" s="1"/>
  <c r="B6" i="15"/>
  <c r="D22" i="3" s="1"/>
  <c r="B4" i="15"/>
  <c r="H22" i="3" s="1"/>
  <c r="E8" i="14"/>
  <c r="D8" i="14"/>
  <c r="C8" i="14"/>
  <c r="B8" i="14"/>
  <c r="E7" i="14"/>
  <c r="D7" i="14"/>
  <c r="C7" i="14"/>
  <c r="B7" i="14"/>
  <c r="E6" i="14"/>
  <c r="G21" i="3" s="1"/>
  <c r="D6" i="14"/>
  <c r="F21" i="3" s="1"/>
  <c r="C6" i="14"/>
  <c r="E21" i="3" s="1"/>
  <c r="B6" i="14"/>
  <c r="D21" i="3" s="1"/>
  <c r="B4" i="14"/>
  <c r="H21" i="3" s="1"/>
  <c r="E8" i="13"/>
  <c r="D8" i="13"/>
  <c r="C8" i="13"/>
  <c r="B8" i="13"/>
  <c r="E7" i="13"/>
  <c r="D7" i="13"/>
  <c r="C7" i="13"/>
  <c r="B7" i="13"/>
  <c r="E6" i="13"/>
  <c r="G20" i="3" s="1"/>
  <c r="D6" i="13"/>
  <c r="F20" i="3" s="1"/>
  <c r="C6" i="13"/>
  <c r="E20" i="3" s="1"/>
  <c r="B6" i="13"/>
  <c r="D20" i="3" s="1"/>
  <c r="B4" i="13"/>
  <c r="H20" i="3" s="1"/>
  <c r="E8" i="12"/>
  <c r="D8" i="12"/>
  <c r="C8" i="12"/>
  <c r="B8" i="12"/>
  <c r="E7" i="12"/>
  <c r="D7" i="12"/>
  <c r="C7" i="12"/>
  <c r="B7" i="12"/>
  <c r="E6" i="12"/>
  <c r="G19" i="3" s="1"/>
  <c r="D6" i="12"/>
  <c r="F19" i="3" s="1"/>
  <c r="C6" i="12"/>
  <c r="E19" i="3" s="1"/>
  <c r="B6" i="12"/>
  <c r="D19" i="3" s="1"/>
  <c r="B4" i="12"/>
  <c r="H19" i="3" s="1"/>
  <c r="E8" i="11"/>
  <c r="D8" i="11"/>
  <c r="C8" i="11"/>
  <c r="B8" i="11"/>
  <c r="E7" i="11"/>
  <c r="D7" i="11"/>
  <c r="C7" i="11"/>
  <c r="B7" i="11"/>
  <c r="E6" i="11"/>
  <c r="G18" i="3" s="1"/>
  <c r="D6" i="11"/>
  <c r="F18" i="3" s="1"/>
  <c r="C6" i="11"/>
  <c r="E18" i="3" s="1"/>
  <c r="B6" i="11"/>
  <c r="D18" i="3" s="1"/>
  <c r="B4" i="11"/>
  <c r="H18" i="3" s="1"/>
  <c r="E8" i="10"/>
  <c r="D8" i="10"/>
  <c r="C8" i="10"/>
  <c r="B8" i="10"/>
  <c r="E7" i="10"/>
  <c r="D7" i="10"/>
  <c r="C7" i="10"/>
  <c r="B7" i="10"/>
  <c r="E6" i="10"/>
  <c r="G17" i="3" s="1"/>
  <c r="D6" i="10"/>
  <c r="F17" i="3" s="1"/>
  <c r="C6" i="10"/>
  <c r="E17" i="3" s="1"/>
  <c r="B6" i="10"/>
  <c r="D17" i="3" s="1"/>
  <c r="B4" i="10"/>
  <c r="H17" i="3" s="1"/>
  <c r="E8" i="9"/>
  <c r="D8" i="9"/>
  <c r="C8" i="9"/>
  <c r="B8" i="9"/>
  <c r="E7" i="9"/>
  <c r="D7" i="9"/>
  <c r="C7" i="9"/>
  <c r="B7" i="9"/>
  <c r="E6" i="9"/>
  <c r="G16" i="3" s="1"/>
  <c r="D6" i="9"/>
  <c r="F16" i="3" s="1"/>
  <c r="C6" i="9"/>
  <c r="E16" i="3" s="1"/>
  <c r="B6" i="9"/>
  <c r="D16" i="3" s="1"/>
  <c r="B4" i="9"/>
  <c r="H16" i="3" s="1"/>
  <c r="E8" i="8"/>
  <c r="D8" i="8"/>
  <c r="C8" i="8"/>
  <c r="B8" i="8"/>
  <c r="E7" i="8"/>
  <c r="D7" i="8"/>
  <c r="C7" i="8"/>
  <c r="B7" i="8"/>
  <c r="E6" i="8"/>
  <c r="G15" i="3" s="1"/>
  <c r="D6" i="8"/>
  <c r="F15" i="3" s="1"/>
  <c r="C6" i="8"/>
  <c r="E15" i="3" s="1"/>
  <c r="B6" i="8"/>
  <c r="D15" i="3" s="1"/>
  <c r="B4" i="8"/>
  <c r="H15" i="3" s="1"/>
  <c r="E8" i="7"/>
  <c r="D8" i="7"/>
  <c r="C8" i="7"/>
  <c r="B8" i="7"/>
  <c r="E7" i="7"/>
  <c r="D7" i="7"/>
  <c r="C7" i="7"/>
  <c r="B7" i="7"/>
  <c r="E6" i="7"/>
  <c r="G14" i="3" s="1"/>
  <c r="D6" i="7"/>
  <c r="F14" i="3" s="1"/>
  <c r="C6" i="7"/>
  <c r="E14" i="3" s="1"/>
  <c r="B6" i="7"/>
  <c r="D14" i="3" s="1"/>
  <c r="B4" i="7"/>
  <c r="H14" i="3" s="1"/>
  <c r="E8" i="6"/>
  <c r="D8" i="6"/>
  <c r="C8" i="6"/>
  <c r="B8" i="6"/>
  <c r="E7" i="6"/>
  <c r="D7" i="6"/>
  <c r="C7" i="6"/>
  <c r="B7" i="6"/>
  <c r="E6" i="6"/>
  <c r="G13" i="3" s="1"/>
  <c r="D6" i="6"/>
  <c r="F13" i="3" s="1"/>
  <c r="C6" i="6"/>
  <c r="E13" i="3" s="1"/>
  <c r="B6" i="6"/>
  <c r="D13" i="3" s="1"/>
  <c r="B4" i="6"/>
  <c r="H13" i="3" s="1"/>
  <c r="E8" i="5"/>
  <c r="D8" i="5"/>
  <c r="C8" i="5"/>
  <c r="B8" i="5"/>
  <c r="E7" i="5"/>
  <c r="D7" i="5"/>
  <c r="C7" i="5"/>
  <c r="B7" i="5"/>
  <c r="E6" i="5"/>
  <c r="G12" i="3" s="1"/>
  <c r="D6" i="5"/>
  <c r="F12" i="3" s="1"/>
  <c r="C6" i="5"/>
  <c r="E12" i="3" s="1"/>
  <c r="B6" i="5"/>
  <c r="D12" i="3" s="1"/>
  <c r="B4" i="5"/>
  <c r="H12" i="3" s="1"/>
  <c r="E8" i="4"/>
  <c r="D8" i="4"/>
  <c r="C8" i="4"/>
  <c r="B8" i="4"/>
  <c r="E7" i="4"/>
  <c r="D7" i="4"/>
  <c r="C7" i="4"/>
  <c r="B7" i="4"/>
  <c r="E6" i="4"/>
  <c r="G11" i="3" s="1"/>
  <c r="D6" i="4"/>
  <c r="F11" i="3" s="1"/>
  <c r="F65" i="3" s="1"/>
  <c r="C6" i="4"/>
  <c r="E11" i="3" s="1"/>
  <c r="E65" i="3" s="1"/>
  <c r="B6" i="4"/>
  <c r="D11" i="3" s="1"/>
  <c r="D65" i="3" s="1"/>
  <c r="B4" i="4"/>
  <c r="H11" i="3" s="1"/>
  <c r="H65" i="3" s="1"/>
  <c r="H63" i="3"/>
  <c r="G63" i="3"/>
  <c r="F63" i="3"/>
  <c r="E63" i="3"/>
  <c r="D63" i="3"/>
  <c r="C63" i="3"/>
  <c r="H62" i="3"/>
  <c r="G62" i="3"/>
  <c r="F62" i="3"/>
  <c r="E62" i="3"/>
  <c r="D62" i="3"/>
  <c r="C62" i="3"/>
  <c r="H61" i="3"/>
  <c r="G61" i="3"/>
  <c r="F61" i="3"/>
  <c r="E61" i="3"/>
  <c r="D61" i="3"/>
  <c r="C61" i="3"/>
  <c r="H60" i="3"/>
  <c r="G60" i="3"/>
  <c r="F60" i="3"/>
  <c r="E60" i="3"/>
  <c r="D60" i="3"/>
  <c r="C60" i="3"/>
  <c r="H59" i="3"/>
  <c r="G59" i="3"/>
  <c r="F59" i="3"/>
  <c r="E59" i="3"/>
  <c r="D59" i="3"/>
  <c r="C59" i="3"/>
  <c r="H58" i="3"/>
  <c r="G58" i="3"/>
  <c r="F58" i="3"/>
  <c r="E58" i="3"/>
  <c r="D58" i="3"/>
  <c r="C58" i="3"/>
  <c r="H57" i="3"/>
  <c r="G57" i="3"/>
  <c r="F57" i="3"/>
  <c r="E57" i="3"/>
  <c r="D57" i="3"/>
  <c r="C57" i="3"/>
  <c r="H56" i="3"/>
  <c r="G56" i="3"/>
  <c r="F56" i="3"/>
  <c r="E56" i="3"/>
  <c r="D56" i="3"/>
  <c r="C56" i="3"/>
  <c r="H55" i="3"/>
  <c r="G55" i="3"/>
  <c r="F55" i="3"/>
  <c r="E55" i="3"/>
  <c r="D55" i="3"/>
  <c r="C55" i="3"/>
  <c r="H54" i="3"/>
  <c r="G54" i="3"/>
  <c r="F54" i="3"/>
  <c r="E54" i="3"/>
  <c r="D54" i="3"/>
  <c r="C54" i="3"/>
  <c r="H53" i="3"/>
  <c r="G53" i="3"/>
  <c r="F53" i="3"/>
  <c r="E53" i="3"/>
  <c r="D53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4" i="3"/>
  <c r="C3" i="3"/>
  <c r="D4" i="2"/>
  <c r="D3" i="2"/>
  <c r="B6" i="1"/>
  <c r="C5" i="3" s="1"/>
  <c r="G65" i="3" l="1"/>
  <c r="E68" i="3" l="1"/>
  <c r="E6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10" authorId="0" shapeId="0" xr:uid="{00000000-0006-0000-0000-000001000000}">
      <text>
        <r>
          <rPr>
            <sz val="11"/>
            <rFont val="ＭＳ Ｐゴシック"/>
            <charset val="128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3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4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5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6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7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8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9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A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B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C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D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E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F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10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11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12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13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14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15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16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17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18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19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1A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1B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1C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1D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1E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1F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20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21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22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23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24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25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26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27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28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29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2A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2B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2C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2D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2E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2F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30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31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32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33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34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35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36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37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38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<sst xmlns="http://schemas.openxmlformats.org/spreadsheetml/2006/main" count="7653" uniqueCount="2148">
  <si>
    <t>TEST REPORT DOCUMENT</t>
  </si>
  <si>
    <t>Project Name</t>
  </si>
  <si>
    <t>SmartHire-AI</t>
  </si>
  <si>
    <t>Creator</t>
  </si>
  <si>
    <t>Project Code</t>
  </si>
  <si>
    <t>Issue Date</t>
  </si>
  <si>
    <t>14/10/2026</t>
  </si>
  <si>
    <t>Document Code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</si>
  <si>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</si>
  <si>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</si>
  <si>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</si>
  <si>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</si>
  <si>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</si>
  <si>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</si>
  <si>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</si>
  <si>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</si>
  <si>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Test Report</t>
  </si>
  <si>
    <t>A</t>
  </si>
  <si>
    <t>Initial release: system test cases for 53 features (8 Master platform modules, 45 Tenant modules).</t>
  </si>
  <si>
    <t>SmartHire-AI feature specifications (docs/features), Report5_Unit Test</t>
  </si>
  <si>
    <t>TEST CASE LIST</t>
  </si>
  <si>
    <t>Test Environment Setup Description</t>
  </si>
  <si>
    <t>1. Server: Spring Boot 3 backend (Java 21) and React 19 frontend served by Nginx (Docker Compose).
2. Database: PostgreSQL master DB (smarthire_master) and one MySQL database per tenant; Redis; RabbitMQ.
3. Web browser: latest Google Chrome / Microsoft Edge.
4. Test data: at least two ACTIVE tenants (tenant A, tenant B) with Tenant Admin, HR, Recruiter and Candidate accounts; one Workspace Admin account on the master platform.</t>
  </si>
  <si>
    <t>No</t>
  </si>
  <si>
    <t>Function Name</t>
  </si>
  <si>
    <t>Sheet Name</t>
  </si>
  <si>
    <t>Description</t>
  </si>
  <si>
    <t>Pre-Condition</t>
  </si>
  <si>
    <t>Tenant Onboarding, Deferred Provisioning &amp; Lifecycle</t>
  </si>
  <si>
    <t>MASTER-01</t>
  </si>
  <si>
    <t>Verify the business rules and APIs of MASTER-01 - Tenant Onboarding, Deferred Provisioning &amp; Lifecycle as specified in docs/features/Authentication/Tenant-Onboarding.md.</t>
  </si>
  <si>
    <t>Master platform is running; a Workspace Admin account exists.</t>
  </si>
  <si>
    <t>Two-Tier B2B Subscription Plans, V27 Snapshot &amp; Quotas</t>
  </si>
  <si>
    <t>MASTER-02</t>
  </si>
  <si>
    <t>Verify the business rules and APIs of MASTER-02 - Two-Tier B2B Subscription Plans, V27 Snapshot &amp; Quotas as specified in docs/features/Master-Platform/Subscription-Plans-Quotas.md.</t>
  </si>
  <si>
    <t>Billing, VAT Invoicing &amp; Payment Gateways (SePay/VNPay/PayPal)</t>
  </si>
  <si>
    <t>MASTER-03</t>
  </si>
  <si>
    <t>Verify the business rules and APIs of MASTER-03 - Billing, VAT Invoicing &amp; Payment Gateways (SePay/VNPay/PayPal) as specified in docs/features/Master-Platform/Billing-Invoicing-Payment.md.</t>
  </si>
  <si>
    <t>Self-serve Checkout &amp; Click-wrap Legal Consent (Decree 13/2023/ND-CP)</t>
  </si>
  <si>
    <t>MASTER-04</t>
  </si>
  <si>
    <t>Verify the business rules and APIs of MASTER-04 - Self-serve Checkout &amp; Click-wrap Legal Consent (Decree 13/2023/ND-CP) as specified in docs/features/Master-Platform/Checkout-Clickwrap-Consent.md.</t>
  </si>
  <si>
    <t>B2B Electronic Contracts &amp; Dropbox Sign API v3 Integration</t>
  </si>
  <si>
    <t>MASTER-05</t>
  </si>
  <si>
    <t>Verify the business rules and APIs of MASTER-05 - B2B Electronic Contracts &amp; Dropbox Sign API v3 Integration as specified in docs/features/Master-Platform/B2B-EContracts-DropboxSign.md.</t>
  </si>
  <si>
    <t>Enterprise Sales Leads &amp; 4-Step B2B Deal Wizard</t>
  </si>
  <si>
    <t>MASTER-06</t>
  </si>
  <si>
    <t>Verify the business rules and APIs of MASTER-06 - Enterprise Sales Leads &amp; 4-Step B2B Deal Wizard as specified in docs/features/Master-Platform/Sales-Leads-B2B-Deal-Wizard.md.</t>
  </si>
  <si>
    <t>AI Engine Governance, Model Routing &amp; Token Cost Metering</t>
  </si>
  <si>
    <t>MASTER-07</t>
  </si>
  <si>
    <t>Verify the business rules and APIs of MASTER-07 - AI Engine Governance, Model Routing &amp; Token Cost Metering as specified in docs/features/Master-Platform/AI-Governance-Metering.md.</t>
  </si>
  <si>
    <t>Platform Financial Analytics (ARR/NRR), Audit Logs &amp; Auto Email Alerts</t>
  </si>
  <si>
    <t>MASTER-08</t>
  </si>
  <si>
    <t>Verify the business rules and APIs of MASTER-08 - Platform Financial Analytics (ARR/NRR), Audit Logs &amp; Auto Email Alerts as specified in docs/features/Master-Platform/Platform-Analytics-Notifications.md.</t>
  </si>
  <si>
    <t>Multiple Choice Test</t>
  </si>
  <si>
    <t>ASSESS-01</t>
  </si>
  <si>
    <t>Verify the business rules and APIs of ASSESS-01 - Multiple Choice Test as specified in docs/features/Technical-Assessment/Multiple-Choice-Test.md.</t>
  </si>
  <si>
    <t>Tenant A and tenant B are ACTIVE; a Recruiter account exists in tenant A.</t>
  </si>
  <si>
    <t>Coding Challenge</t>
  </si>
  <si>
    <t>ASSESS-02</t>
  </si>
  <si>
    <t>Verify the business rules and APIs of ASSESS-02 - Coding Challenge as specified in docs/features/Technical-Assessment/Coding-Challenge.md.</t>
  </si>
  <si>
    <t>Auto Grading</t>
  </si>
  <si>
    <t>ASSESS-03</t>
  </si>
  <si>
    <t>Verify the business rules and APIs of ASSESS-03 - Auto Grading as specified in docs/features/Technical-Assessment/Auto-Grading.md.</t>
  </si>
  <si>
    <t>Timer Control</t>
  </si>
  <si>
    <t>ASSESS-04</t>
  </si>
  <si>
    <t>Verify the business rules and APIs of ASSESS-04 - Timer Control as specified in docs/features/Technical-Assessment/Timer-Control.md.</t>
  </si>
  <si>
    <t>Tenant A and tenant B are ACTIVE; a Candidate account exists in tenant A.</t>
  </si>
  <si>
    <t>Anti-cheating Detection</t>
  </si>
  <si>
    <t>ASSESS-05</t>
  </si>
  <si>
    <t>Verify the business rules and APIs of ASSESS-05 - Anti-cheating Detection as specified in docs/features/Technical-Assessment/Anti-Cheating.md.</t>
  </si>
  <si>
    <t>User Registration</t>
  </si>
  <si>
    <t>AUTH-01</t>
  </si>
  <si>
    <t>Verify the business rules and APIs of AUTH-01 - User Registration as specified in docs/features/Authentication/User-Registration.md.</t>
  </si>
  <si>
    <t>Login &amp; JWT Authentication</t>
  </si>
  <si>
    <t>AUTH-02</t>
  </si>
  <si>
    <t>Verify the business rules and APIs of AUTH-02 - Login &amp; JWT Authentication as specified in docs/features/Authentication/Login-JWT.md.</t>
  </si>
  <si>
    <t>Tenant A and tenant B are ACTIVE; a Admin account exists in tenant A.</t>
  </si>
  <si>
    <t>Google OAuth Login</t>
  </si>
  <si>
    <t>AUTH-03</t>
  </si>
  <si>
    <t>Verify the business rules and APIs of AUTH-03 - Google OAuth Login as specified in docs/features/Authentication/Google-OAuth.md.</t>
  </si>
  <si>
    <t>Role-Based Access Control (RBAC)</t>
  </si>
  <si>
    <t>AUTH-04</t>
  </si>
  <si>
    <t>Verify the business rules and APIs of AUTH-04 - Role-Based Access Control (RBAC) as specified in docs/features/Authentication/RBAC.md.</t>
  </si>
  <si>
    <t>User Profile Management</t>
  </si>
  <si>
    <t>AUTH-05</t>
  </si>
  <si>
    <t>Verify the business rules and APIs of AUTH-05 - User Profile Management as specified in docs/features/Authentication/User-Profile.md.</t>
  </si>
  <si>
    <t>View &amp; Update Company Profile</t>
  </si>
  <si>
    <t>COMPANY-01</t>
  </si>
  <si>
    <t>Verify the business rules and APIs of COMPANY-01 - View &amp; Update Company Profile as specified in docs/features/Company-Management/Company-Profile.md.</t>
  </si>
  <si>
    <t>Tenant A and tenant B are ACTIVE; a Tenant Admin account exists in tenant A.</t>
  </si>
  <si>
    <t>Invite tenant staff</t>
  </si>
  <si>
    <t>COMPANY-02</t>
  </si>
  <si>
    <t>Verify the business rules and APIs of COMPANY-02 - Invite tenant staff as specified in docs/features/Company-Management/Invite-Member.md.</t>
  </si>
  <si>
    <t>Tenant Landing / Career Page</t>
  </si>
  <si>
    <t>COMPANY-02-Tenant-Landing-Page</t>
  </si>
  <si>
    <t>Verify the business rules and APIs of COMPANY-02-Tenant-Landing-Page - Tenant Landing / Career Page as specified in docs/features/Company-Management/Tenant-Landing-Page.md.</t>
  </si>
  <si>
    <t>CV Upload</t>
  </si>
  <si>
    <t>CV-01</t>
  </si>
  <si>
    <t>Verify the business rules and APIs of CV-01 - CV Upload as specified in docs/features/CV-Screening/CV-Upload.md.</t>
  </si>
  <si>
    <t>CV Parsing</t>
  </si>
  <si>
    <t>CV-02</t>
  </si>
  <si>
    <t>Verify the business rules and APIs of CV-02 - CV Parsing as specified in docs/features/CV-Screening/CV-Parsing.md.</t>
  </si>
  <si>
    <t>Information Extraction</t>
  </si>
  <si>
    <t>CV-03</t>
  </si>
  <si>
    <t>Verify the business rules and APIs of CV-03 - Information Extraction as specified in docs/features/CV-Screening/Information-Extraction.md.</t>
  </si>
  <si>
    <t>AI Skill Analysis</t>
  </si>
  <si>
    <t>CV-04</t>
  </si>
  <si>
    <t>Verify the business rules and APIs of CV-04 - AI Skill Analysis as specified in docs/features/CV-Screening/AI-Skill-Analysis.md.</t>
  </si>
  <si>
    <t>Candidate Matching Score</t>
  </si>
  <si>
    <t>CV-05</t>
  </si>
  <si>
    <t>Verify the business rules and APIs of CV-05 - Candidate Matching Score as specified in docs/features/CV-Screening/Matching-Score.md.</t>
  </si>
  <si>
    <t>CV Builder</t>
  </si>
  <si>
    <t>CV-06</t>
  </si>
  <si>
    <t>Verify the business rules and APIs of CV-06 - CV Builder as specified in docs/features/CV-Screening/CV-Builder.md.</t>
  </si>
  <si>
    <t>Recruitment Statistics</t>
  </si>
  <si>
    <t>DASH-01</t>
  </si>
  <si>
    <t>Verify the business rules and APIs of DASH-01 - Recruitment Statistics as specified in docs/features/Analytics-Dashboard/Recruitment-Statistics.md.</t>
  </si>
  <si>
    <t>Dashboard Charts</t>
  </si>
  <si>
    <t>DASH-02</t>
  </si>
  <si>
    <t>Verify the business rules and APIs of DASH-02 - Dashboard Charts as specified in docs/features/Analytics-Dashboard/Dashboard-Charts.md.</t>
  </si>
  <si>
    <t>Recruitment Trend Analysis</t>
  </si>
  <si>
    <t>DASH-03</t>
  </si>
  <si>
    <t>Verify the business rules and APIs of DASH-03 - Recruitment Trend Analysis as specified in docs/features/Analytics-Dashboard/Trend-Analysis.md.</t>
  </si>
  <si>
    <t>AI Question Generation</t>
  </si>
  <si>
    <t>INT-01</t>
  </si>
  <si>
    <t>Verify the business rules and APIs of INT-01 - AI Question Generation as specified in docs/features/AI-Interview/Question-Generation.md.</t>
  </si>
  <si>
    <t>Speech-to-Text Integration</t>
  </si>
  <si>
    <t>INT-02</t>
  </si>
  <si>
    <t>Verify the business rules and APIs of INT-02 - Speech-to-Text Integration as specified in docs/features/AI-Interview/Speech-to-Text.md.</t>
  </si>
  <si>
    <t>NLP Response Analysis</t>
  </si>
  <si>
    <t>INT-03</t>
  </si>
  <si>
    <t>Verify the business rules and APIs of INT-03 - NLP Response Analysis as specified in docs/features/AI-Interview/NLP-Response-Analysis.md.</t>
  </si>
  <si>
    <t>AI Interview Scoring</t>
  </si>
  <si>
    <t>INT-04</t>
  </si>
  <si>
    <t>Verify the business rules and APIs of INT-04 - AI Interview Scoring as specified in docs/features/AI-Interview/AI-Scoring.md.</t>
  </si>
  <si>
    <t>Interview Feedback</t>
  </si>
  <si>
    <t>INT-05</t>
  </si>
  <si>
    <t>Verify the business rules and APIs of INT-05 - Interview Feedback as specified in docs/features/AI-Interview/Interview-Feedback.md.</t>
  </si>
  <si>
    <t>Create / Update / Delete Job</t>
  </si>
  <si>
    <t>JOB-01</t>
  </si>
  <si>
    <t>Recruiters manage the job lifecycle: create drafts, edit, clone and soft delete jobs, and configure CV / Gate screening weights per job.</t>
  </si>
  <si>
    <t>Job Publishing</t>
  </si>
  <si>
    <t>JOB-02</t>
  </si>
  <si>
    <t>Verify the business rules and APIs of JOB-02 - Job Publishing as specified in docs/features/Job-Recruitment/Job-Publishing.md.</t>
  </si>
  <si>
    <t>Skill Requirement Management</t>
  </si>
  <si>
    <t>JOB-03</t>
  </si>
  <si>
    <t>Verify the business rules and APIs of JOB-03 - Skill Requirement Management as specified in docs/features/Job-Recruitment/Skill-Requirements.md.</t>
  </si>
  <si>
    <t>Recruitment Stage Management</t>
  </si>
  <si>
    <t>JOB-04</t>
  </si>
  <si>
    <t>Verify the business rules and APIs of JOB-04 - Recruitment Stage Management as specified in docs/features/Job-Recruitment/Recruitment-Stages.md.</t>
  </si>
  <si>
    <t>Applicant Management</t>
  </si>
  <si>
    <t>JOB-05</t>
  </si>
  <si>
    <t>Verify the business rules and APIs of JOB-05 - Applicant Management as specified in docs/features/Job-Recruitment/Applicant-Management.md.</t>
  </si>
  <si>
    <t>Recruiter Job Assignment</t>
  </si>
  <si>
    <t>JOB-06</t>
  </si>
  <si>
    <t>Verify the business rules and APIs of JOB-06 - Recruiter Job Assignment as specified in docs/features/Job-Recruitment/Recruiter-Assignment.md.</t>
  </si>
  <si>
    <t>Practice Interview Session</t>
  </si>
  <si>
    <t>PRACT-01</t>
  </si>
  <si>
    <t>Verify the business rules and APIs of PRACT-01 - Practice Interview Session as specified in docs/features/Practice-Interview/Practice-Session.md.</t>
  </si>
  <si>
    <t>AI Feedback Generation</t>
  </si>
  <si>
    <t>PRACT-02</t>
  </si>
  <si>
    <t>Verify the business rules and APIs of PRACT-02 - AI Feedback Generation as specified in docs/features/Practice-Interview/AI-Feedback-Generation.md.</t>
  </si>
  <si>
    <t>Practice History Management</t>
  </si>
  <si>
    <t>PRACT-03</t>
  </si>
  <si>
    <t>Verify the business rules and APIs of PRACT-03 - Practice History Management as specified in docs/features/Practice-Interview/Practice-History.md.</t>
  </si>
  <si>
    <t>Candidate Ranking Algorithm</t>
  </si>
  <si>
    <t>RANK-01</t>
  </si>
  <si>
    <t>Verify the business rules and APIs of RANK-01 - Candidate Ranking Algorithm as specified in docs/features/Matching-Ranking/Ranking-Algorithm.md.</t>
  </si>
  <si>
    <t>Recommendation Engine</t>
  </si>
  <si>
    <t>RANK-02</t>
  </si>
  <si>
    <t>Verify the business rules and APIs of RANK-02 - Recommendation Engine as specified in docs/features/Matching-Ranking/Recommendation-Engine.md.</t>
  </si>
  <si>
    <t>Overall Candidate Score</t>
  </si>
  <si>
    <t>RANK-03</t>
  </si>
  <si>
    <t>Verify the business rules and APIs of RANK-03 - Overall Candidate Score as specified in docs/features/Matching-Ranking/Overall-Candidate-Score.md.</t>
  </si>
  <si>
    <t>Interview Scheduling</t>
  </si>
  <si>
    <t>SCHED-01</t>
  </si>
  <si>
    <t>Verify the business rules and APIs of SCHED-01 - Interview Scheduling as specified in docs/features/Scheduling-Notifications/Interview-Scheduling.md.</t>
  </si>
  <si>
    <t>WebSocket Notification</t>
  </si>
  <si>
    <t>SCHED-02</t>
  </si>
  <si>
    <t>Verify the business rules and APIs of SCHED-02 - WebSocket Notification as specified in docs/features/Scheduling-Notifications/WebSocket-Notifications.md.</t>
  </si>
  <si>
    <t>Email Notification</t>
  </si>
  <si>
    <t>SCHED-03</t>
  </si>
  <si>
    <t>Verify the business rules and APIs of SCHED-03 - Email Notification as specified in docs/features/Scheduling-Notifications/Email-Notifications.md.</t>
  </si>
  <si>
    <t>Recruitment Pipeline</t>
  </si>
  <si>
    <t>WF-01</t>
  </si>
  <si>
    <t>Verify the business rules and APIs of WF-01 - Recruitment Pipeline as specified in docs/features/Recruitment-Workflow/Recruitment-Pipeline.md.</t>
  </si>
  <si>
    <t>Candidate Status Management</t>
  </si>
  <si>
    <t>WF-02</t>
  </si>
  <si>
    <t>Verify the business rules and APIs of WF-02 - Candidate Status Management as specified in docs/features/Recruitment-Workflow/Candidate-Status.md.</t>
  </si>
  <si>
    <t>Hiring Decision Management</t>
  </si>
  <si>
    <t>WF-03</t>
  </si>
  <si>
    <t>Verify the business rules and APIs of WF-03 - Hiring Decision Management as specified in docs/features/Recruitment-Workflow/Hiring-Decision.md.</t>
  </si>
  <si>
    <t>TEST STATISTICS</t>
  </si>
  <si>
    <t>Reviewer/Approver</t>
  </si>
  <si>
    <t>Notes</t>
  </si>
  <si>
    <t>This release includes 53 features: 8 Master platform modules and 45 Tenant modules.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</si>
  <si>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</si>
  <si>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</si>
  <si>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</si>
  <si>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</si>
  <si>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</si>
  <si>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</si>
  <si>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</si>
  <si>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</si>
  <si>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</si>
  <si>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</si>
  <si>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Feature</t>
  </si>
  <si>
    <t>Test requirement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</si>
  <si>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</si>
  <si>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</si>
  <si>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</si>
  <si>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</si>
  <si>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</si>
  <si>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</si>
  <si>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</si>
  <si>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</si>
  <si>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</si>
  <si>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</si>
  <si>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</si>
  <si>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</si>
  <si>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</si>
  <si>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Get all tenants (GET /api/v1/master/tenants)</t>
  </si>
  <si>
    <t>MASTER-01-TC24</t>
  </si>
  <si>
    <t>Verify get all tenants succeeds with valid input (GET /api/v1/master/tenants).</t>
  </si>
  <si>
    <t>1. Log in as Workspace Admin.
2. Send GET /api/v1/master/tenants.
3. Check the response and the data shown in the system.</t>
  </si>
  <si>
    <t>HTTP 200. Response success = true and contains the requested data.</t>
  </si>
  <si>
    <t>Master platform is running. The Workspace Admin account has permission for this action.</t>
  </si>
  <si>
    <t>Nguyễn Nhất Sinh</t>
  </si>
  <si>
    <t>Failing automated tests: MultiDatabaseIntegrationTest.authenticatedOnboardApiCreatesTenantAndRejectsDuplicateAliases</t>
  </si>
  <si>
    <t>Check subdomain exists (GET /api/v1/master/tenants/check-subdomain/{id})</t>
  </si>
  <si>
    <t>MASTER-01-TC25</t>
  </si>
  <si>
    <t>Verify check subdomain exists succeeds with valid input (GET /api/v1/master/tenants/check-subdomain/{id}).</t>
  </si>
  <si>
    <t>1. Do not log in (public endpoint).
2. Send GET /api/v1/master/tenants/check-subdomain/{id}.
3. Check the response and the data shown in the system.</t>
  </si>
  <si>
    <t>Master platform is running. The target resource exists.</t>
  </si>
  <si>
    <t>Db (POST /api/v1/master/tenants/onboard)</t>
  </si>
  <si>
    <t>MASTER-01-TC26</t>
  </si>
  <si>
    <t>Verify db succeeds with valid input (POST /api/v1/master/tenants/onboard).</t>
  </si>
  <si>
    <t>1. Log in as Workspace Admin.
2. Send POST /api/v1/master/tenants/onboard and a valid request body.
3. Check the response and the data shown in the system.</t>
  </si>
  <si>
    <t>HTTP 200/201. Response success = true; the record/action is saved and returned in the response.</t>
  </si>
  <si>
    <t>MASTER-01-TC27</t>
  </si>
  <si>
    <t>Verify db rejects invalid input (POST /api/v1/master/tenants/onboard).</t>
  </si>
  <si>
    <t>1. Log in as Workspace Admin.
2. Send POST /api/v1/master/tenants/onboard with missing required fields or invalid values (empty text, wrong format, out-of-range numbers, non-existing IDs).
3. Check the response and the data in the system.</t>
  </si>
  <si>
    <t>HTTP 400 (or 404 for a non-existing ID) with success = false and an error message / field errors. No data is created or changed.</t>
  </si>
  <si>
    <t>Tenant (DELETE /api/v1/master/tenants/{id})</t>
  </si>
  <si>
    <t>MASTER-01-TC28</t>
  </si>
  <si>
    <t>Verify tenant succeeds with valid input (DELETE /api/v1/master/tenants/{id}).</t>
  </si>
  <si>
    <t>1. Log in as Workspace Admin.
2. Send DELETE /api/v1/master/tenants/{id}.
3. Check the response and the data shown in the system.</t>
  </si>
  <si>
    <t>HTTP 200/204. The record is removed (or archived) and no longer appears in lists.</t>
  </si>
  <si>
    <t>Master platform is running. The Workspace Admin account has permission for this action. The target resource exists.</t>
  </si>
  <si>
    <t>MASTER-01-TC29</t>
  </si>
  <si>
    <t>Verify tenant rejects invalid input (DELETE /api/v1/master/tenants/{id}).</t>
  </si>
  <si>
    <t>1. Log in as Workspace Admin.
2. Send DELETE /api/v1/master/tenants/{id} with missing required fields or invalid values (empty text, wrong format, out-of-range numbers, non-existing IDs).
3. Check the response and the data in the system.</t>
  </si>
  <si>
    <t>Get tenant by id (GET /api/v1/master/tenants/{id})</t>
  </si>
  <si>
    <t>MASTER-01-TC30</t>
  </si>
  <si>
    <t>Verify get tenant by id succeeds with valid input (GET /api/v1/master/tenants/{id}).</t>
  </si>
  <si>
    <t>1. Log in as Workspace Admin.
2. Send GET /api/v1/master/tenants/{id}.
3. Check the response and the data shown in the system.</t>
  </si>
  <si>
    <t>Update tenant (PUT /api/v1/master/tenants/{id})</t>
  </si>
  <si>
    <t>MASTER-01-TC31</t>
  </si>
  <si>
    <t>Verify update tenant succeeds with valid input (PUT /api/v1/master/tenants/{id}).</t>
  </si>
  <si>
    <t>1. Log in as Workspace Admin.
2. Send PUT /api/v1/master/tenants/{id} and a valid request body.
3. Check the response and the data shown in the system.</t>
  </si>
  <si>
    <t>HTTP 200. Response success = true; the changes are saved and returned.</t>
  </si>
  <si>
    <t>MASTER-01-TC32</t>
  </si>
  <si>
    <t>Verify update tenant rejects invalid input (PUT /api/v1/master/tenants/{id}).</t>
  </si>
  <si>
    <t>1. Log in as Workspace Admin.
2. Send PUT /api/v1/master/tenants/{id} with missing required fields or invalid values (empty text, wrong format, out-of-range numbers, non-existing IDs).
3. Check the response and the data in the system.</t>
  </si>
  <si>
    <t>Restore tenant (POST /api/v1/master/tenants/{id}/restore)</t>
  </si>
  <si>
    <t>MASTER-01-TC33</t>
  </si>
  <si>
    <t>Verify restore tenant succeeds with valid input (POST /api/v1/master/tenants/{id}/restore).</t>
  </si>
  <si>
    <t>1. Log in as Workspace Admin.
2. Send POST /api/v1/master/tenants/{id}/restore and a valid request body.
3. Check the response and the data shown in the system.</t>
  </si>
  <si>
    <t>MASTER-01-TC34</t>
  </si>
  <si>
    <t>Verify restore tenant rejects invalid input (POST /api/v1/master/tenants/{id}/restore).</t>
  </si>
  <si>
    <t>1. Log in as Workspace Admin.
2. Send POST /api/v1/master/tenants/{id}/restore with missing required fields or invalid values (empty text, wrong format, out-of-range numbers, non-existing IDs).
3. Check the response and the data in the system.</t>
  </si>
  <si>
    <t>Retry (POST /api/v1/master/tenants/{id}/retry)</t>
  </si>
  <si>
    <t>MASTER-01-TC35</t>
  </si>
  <si>
    <t>Verify retry succeeds with valid input (POST /api/v1/master/tenants/{id}/retry).</t>
  </si>
  <si>
    <t>1. Log in as Workspace Admin.
2. Send POST /api/v1/master/tenants/{id}/retry and a valid request body.
3. Check the response and the data shown in the system.</t>
  </si>
  <si>
    <t>MASTER-01-TC36</t>
  </si>
  <si>
    <t>Verify retry rejects invalid input (POST /api/v1/master/tenants/{id}/retry).</t>
  </si>
  <si>
    <t>1. Log in as Workspace Admin.
2. Send POST /api/v1/master/tenants/{id}/retry with missing required fields or invalid values (empty text, wrong format, out-of-range numbers, non-existing IDs).
3. Check the response and the data in the system.</t>
  </si>
  <si>
    <t>Delete (PATCH /api/v1/master/tenants/{id}/soft-delete)</t>
  </si>
  <si>
    <t>MASTER-01-TC37</t>
  </si>
  <si>
    <t>Verify delete succeeds with valid input (PATCH /api/v1/master/tenants/{id}/soft-delete).</t>
  </si>
  <si>
    <t>1. Log in as Workspace Admin.
2. Send PATCH /api/v1/master/tenants/{id}/soft-delete and a valid request body.
3. Check the response and the data shown in the system.</t>
  </si>
  <si>
    <t>HTTP 200. Response success = true; the changed fields are saved.</t>
  </si>
  <si>
    <t>MASTER-01-TC38</t>
  </si>
  <si>
    <t>Verify delete rejects invalid input (PATCH /api/v1/master/tenants/{id}/soft-delete).</t>
  </si>
  <si>
    <t>1. Log in as Workspace Admin.
2. Send PATCH /api/v1/master/tenants/{id}/soft-delete with missing required fields or invalid values (empty text, wrong format, out-of-range numbers, non-existing IDs).
3. Check the response and the data in the system.</t>
  </si>
  <si>
    <t>Update tenant status (PATCH /api/v1/master/tenants/{id}/status)</t>
  </si>
  <si>
    <t>MASTER-01-TC39</t>
  </si>
  <si>
    <t>Verify update tenant status succeeds with valid input (PATCH /api/v1/master/tenants/{id}/status).</t>
  </si>
  <si>
    <t>1. Log in as Workspace Admin.
2. Send PATCH /api/v1/master/tenants/{id}/status and a valid request body.
3. Check the response and the data shown in the system.</t>
  </si>
  <si>
    <t>MASTER-01-TC40</t>
  </si>
  <si>
    <t>Verify update tenant status rejects invalid input (PATCH /api/v1/master/tenants/{id}/status).</t>
  </si>
  <si>
    <t>1. Log in as Workspace Admin.
2. Send PATCH /api/v1/master/tenants/{id}/status with missing required fields or invalid values (empty text, wrong format, out-of-range numbers, non-existing IDs).
3. Check the response and the data in the system.</t>
  </si>
  <si>
    <t>Security &amp; tenant isolation</t>
  </si>
  <si>
    <t>MASTER-01-TC41</t>
  </si>
  <si>
    <t>Verify platform admin APIs reject unauthenticated requests and tenant users.</t>
  </si>
  <si>
    <t>1. Send GET /api/v1/master/tenants without an Authorization header.
2. Send the same request with a valid token of a tenant user (e.g. Tenant Admin).</t>
  </si>
  <si>
    <t>Step 1: HTTP 401, code UNAUTHORIZED.
Step 2: HTTP 403, code FORBIDDEN (requires WORKSPACE_ADMIN).</t>
  </si>
  <si>
    <t>A tenant user account exists.</t>
  </si>
  <si>
    <t>MASTER-01-TC42</t>
  </si>
  <si>
    <t>Verify a Workspace Admin token cannot be used to read tenant data through tenant APIs.</t>
  </si>
  <si>
    <t>1. Log in as Workspace Admin.
2. Call a tenant API (e.g. GET /api/v1/jobs) with header X-Tenant-ID = tenant A using the master token.</t>
  </si>
  <si>
    <t>The request is rejected (HTTP 401/403) and no tenant data is returned.</t>
  </si>
  <si>
    <t>Workspace Admin account exists; tenant A has data.</t>
  </si>
  <si>
    <t>Get all plans (GET /api/v1/master/subscriptions)</t>
  </si>
  <si>
    <t>MASTER-02-TC05</t>
  </si>
  <si>
    <t>Verify get all plans succeeds with valid input (GET /api/v1/master/subscriptions).</t>
  </si>
  <si>
    <t>1. Log in as Workspace Admin.
2. Send GET /api/v1/master/subscriptions.
3. Check the response and the data shown in the system.</t>
  </si>
  <si>
    <t>11/10/2026</t>
  </si>
  <si>
    <t>Verified by automated tests: TwoTierSubscriptionArchitectureTest</t>
  </si>
  <si>
    <t>Create plan (POST /api/v1/master/subscriptions)</t>
  </si>
  <si>
    <t>MASTER-02-TC06</t>
  </si>
  <si>
    <t>Verify create plan succeeds with valid input (POST /api/v1/master/subscriptions).</t>
  </si>
  <si>
    <t>1. Log in as Workspace Admin.
2. Send POST /api/v1/master/subscriptions and a valid request body.
3. Check the response and the data shown in the system.</t>
  </si>
  <si>
    <t>MASTER-02-TC07</t>
  </si>
  <si>
    <t>Verify create plan rejects invalid input (POST /api/v1/master/subscriptions).</t>
  </si>
  <si>
    <t>1. Log in as Workspace Admin.
2. Send POST /api/v1/master/subscriptions with missing required fields or invalid values (empty text, wrong format, out-of-range numbers, non-existing IDs).
3. Check the response and the data in the system.</t>
  </si>
  <si>
    <t>Get all tenant subscription instances (GET /api/v1/master/subscriptions/tenants)</t>
  </si>
  <si>
    <t>MASTER-02-TC08</t>
  </si>
  <si>
    <t>Verify get all tenant subscription instances succeeds with valid input (GET /api/v1/master/subscriptions/tenants).</t>
  </si>
  <si>
    <t>1. Log in as Workspace Admin.
2. Send GET /api/v1/master/subscriptions/tenants.
3. Check the response and the data shown in the system.</t>
  </si>
  <si>
    <t>Get tenant subscription instance (GET /api/v1/master/subscriptions/tenants/{id})</t>
  </si>
  <si>
    <t>MASTER-02-TC09</t>
  </si>
  <si>
    <t>Verify get tenant subscription instance succeeds with valid input (GET /api/v1/master/subscriptions/tenants/{id}).</t>
  </si>
  <si>
    <t>1. Log in as Workspace Admin.
2. Send GET /api/v1/master/subscriptions/tenants/{id}.
3. Check the response and the data shown in the system.</t>
  </si>
  <si>
    <t>Assign or customize tenant subscription (PUT /api/v1/master/subscriptions/tenants/{id})</t>
  </si>
  <si>
    <t>MASTER-02-TC10</t>
  </si>
  <si>
    <t>Verify assign or customize tenant subscription succeeds with valid input (PUT /api/v1/master/subscriptions/tenants/{id}).</t>
  </si>
  <si>
    <t>1. Log in as Workspace Admin.
2. Send PUT /api/v1/master/subscriptions/tenants/{id} and a valid request body.
3. Check the response and the data shown in the system.</t>
  </si>
  <si>
    <t>MASTER-02-TC11</t>
  </si>
  <si>
    <t>Verify assign or customize tenant subscription rejects invalid input (PUT /api/v1/master/subscriptions/tenants/{id}).</t>
  </si>
  <si>
    <t>1. Log in as Workspace Admin.
2. Send PUT /api/v1/master/subscriptions/tenants/{id} with missing required fields or invalid values (empty text, wrong format, out-of-range numbers, non-existing IDs).
3. Check the response and the data in the system.</t>
  </si>
  <si>
    <t>Get plan by id (GET /api/v1/master/subscriptions/{id})</t>
  </si>
  <si>
    <t>MASTER-02-TC12</t>
  </si>
  <si>
    <t>Verify get plan by id succeeds with valid input (GET /api/v1/master/subscriptions/{id}).</t>
  </si>
  <si>
    <t>1. Log in as Workspace Admin.
2. Send GET /api/v1/master/subscriptions/{id}.
3. Check the response and the data shown in the system.</t>
  </si>
  <si>
    <t>Plan (PUT /api/v1/master/subscriptions/{id})</t>
  </si>
  <si>
    <t>MASTER-02-TC13</t>
  </si>
  <si>
    <t>Verify plan succeeds with valid input (PUT /api/v1/master/subscriptions/{id}).</t>
  </si>
  <si>
    <t>1. Log in as Workspace Admin.
2. Send PUT /api/v1/master/subscriptions/{id} and a valid request body.
3. Check the response and the data shown in the system.</t>
  </si>
  <si>
    <t>MASTER-02-TC14</t>
  </si>
  <si>
    <t>Verify plan rejects invalid input (PUT /api/v1/master/subscriptions/{id}).</t>
  </si>
  <si>
    <t>1. Log in as Workspace Admin.
2. Send PUT /api/v1/master/subscriptions/{id} with missing required fields or invalid values (empty text, wrong format, out-of-range numbers, non-existing IDs).
3. Check the response and the data in the system.</t>
  </si>
  <si>
    <t>Clone custom plan (POST /api/v1/master/subscriptions/{id}/clone-custom)</t>
  </si>
  <si>
    <t>MASTER-02-TC15</t>
  </si>
  <si>
    <t>Verify clone custom plan succeeds with valid input (POST /api/v1/master/subscriptions/{id}/clone-custom).</t>
  </si>
  <si>
    <t>1. Log in as Workspace Admin.
2. Send POST /api/v1/master/subscriptions/{id}/clone-custom and a valid request body.
3. Check the response and the data shown in the system.</t>
  </si>
  <si>
    <t>MASTER-02-TC16</t>
  </si>
  <si>
    <t>Verify clone custom plan rejects invalid input (POST /api/v1/master/subscriptions/{id}/clone-custom).</t>
  </si>
  <si>
    <t>1. Log in as Workspace Admin.
2. Send POST /api/v1/master/subscriptions/{id}/clone-custom with missing required fields or invalid values (empty text, wrong format, out-of-range numbers, non-existing IDs).
3. Check the response and the data in the system.</t>
  </si>
  <si>
    <t>Status (PATCH /api/v1/master/subscriptions/{id}/status)</t>
  </si>
  <si>
    <t>MASTER-02-TC17</t>
  </si>
  <si>
    <t>Verify status succeeds with valid input (PATCH /api/v1/master/subscriptions/{id}/status).</t>
  </si>
  <si>
    <t>1. Log in as Workspace Admin.
2. Send PATCH /api/v1/master/subscriptions/{id}/status and a valid request body.
3. Check the response and the data shown in the system.</t>
  </si>
  <si>
    <t>MASTER-02-TC18</t>
  </si>
  <si>
    <t>Verify status rejects invalid input (PATCH /api/v1/master/subscriptions/{id}/status).</t>
  </si>
  <si>
    <t>1. Log in as Workspace Admin.
2. Send PATCH /api/v1/master/subscriptions/{id}/status with missing required fields or invalid values (empty text, wrong format, out-of-range numbers, non-existing IDs).
3. Check the response and the data in the system.</t>
  </si>
  <si>
    <t>MASTER-02-TC19</t>
  </si>
  <si>
    <t>1. Send GET /api/v1/master/subscriptions without an Authorization header.
2. Send the same request with a valid token of a tenant user (e.g. Tenant Admin).</t>
  </si>
  <si>
    <t>MASTER-02-TC20</t>
  </si>
  <si>
    <t>Get all invoices (GET /api/v1/master/invoices)</t>
  </si>
  <si>
    <t>MASTER-03-TC05</t>
  </si>
  <si>
    <t>Verify get all invoices succeeds with valid input (GET /api/v1/master/invoices).</t>
  </si>
  <si>
    <t>1. Log in as Workspace Admin.
2. Send GET /api/v1/master/invoices.
3. Check the response and the data shown in the system.</t>
  </si>
  <si>
    <t>Failing automated tests: MasterBillingServiceTest.approveInvoice_PendingInvoice_ProvisionsTenantAndSendsMail</t>
  </si>
  <si>
    <t>Create invoice (POST /api/v1/master/invoices)</t>
  </si>
  <si>
    <t>MASTER-03-TC06</t>
  </si>
  <si>
    <t>Verify create invoice succeeds with valid input (POST /api/v1/master/invoices).</t>
  </si>
  <si>
    <t>1. Log in as Workspace Admin.
2. Send POST /api/v1/master/invoices and a valid request body.
3. Check the response and the data shown in the system.</t>
  </si>
  <si>
    <t>MASTER-03-TC07</t>
  </si>
  <si>
    <t>Verify create invoice rejects invalid input (POST /api/v1/master/invoices).</t>
  </si>
  <si>
    <t>1. Log in as Workspace Admin.
2. Send POST /api/v1/master/invoices with missing required fields or invalid values (empty text, wrong format, out-of-range numbers, non-existing IDs).
3. Check the response and the data in the system.</t>
  </si>
  <si>
    <t>Get invoice by id (GET /api/v1/master/invoices/{id})</t>
  </si>
  <si>
    <t>MASTER-03-TC08</t>
  </si>
  <si>
    <t>Verify get invoice by id succeeds with valid input (GET /api/v1/master/invoices/{id}).</t>
  </si>
  <si>
    <t>1. Log in as Workspace Admin.
2. Send GET /api/v1/master/invoices/{id}.
3. Check the response and the data shown in the system.</t>
  </si>
  <si>
    <t>Approve invoice (POST /api/v1/master/invoices/{id}/approve)</t>
  </si>
  <si>
    <t>MASTER-03-TC09</t>
  </si>
  <si>
    <t>Verify approve invoice succeeds with valid input (POST /api/v1/master/invoices/{id}/approve).</t>
  </si>
  <si>
    <t>1. Log in as Workspace Admin.
2. Send POST /api/v1/master/invoices/{id}/approve and a valid request body.
3. Check the response and the data shown in the system.</t>
  </si>
  <si>
    <t>MASTER-03-TC10</t>
  </si>
  <si>
    <t>Verify approve invoice rejects invalid input (POST /api/v1/master/invoices/{id}/approve).</t>
  </si>
  <si>
    <t>1. Log in as Workspace Admin.
2. Send POST /api/v1/master/invoices/{id}/approve with missing required fields or invalid values (empty text, wrong format, out-of-range numbers, non-existing IDs).
3. Check the response and the data in the system.</t>
  </si>
  <si>
    <t>Update invoice status (PATCH /api/v1/master/invoices/{id}/status)</t>
  </si>
  <si>
    <t>MASTER-03-TC11</t>
  </si>
  <si>
    <t>Verify update invoice status succeeds with valid input (PATCH /api/v1/master/invoices/{id}/status).</t>
  </si>
  <si>
    <t>1. Log in as Workspace Admin.
2. Send PATCH /api/v1/master/invoices/{id}/status and a valid request body.
3. Check the response and the data shown in the system.</t>
  </si>
  <si>
    <t>MASTER-03-TC12</t>
  </si>
  <si>
    <t>Verify update invoice status rejects invalid input (PATCH /api/v1/master/invoices/{id}/status).</t>
  </si>
  <si>
    <t>1. Log in as Workspace Admin.
2. Send PATCH /api/v1/master/invoices/{id}/status with missing required fields or invalid values (empty text, wrong format, out-of-range numbers, non-existing IDs).
3. Check the response and the data in the system.</t>
  </si>
  <si>
    <t>Verify return (POST /api/v1/public/checkout/paypal/verify-return)</t>
  </si>
  <si>
    <t>MASTER-03-TC13</t>
  </si>
  <si>
    <t>Verify verify return succeeds with valid input (POST /api/v1/public/checkout/paypal/verify-return).</t>
  </si>
  <si>
    <t>1. Do not log in (public endpoint).
2. Send POST /api/v1/public/checkout/paypal/verify-return and a valid request body.
3. Check the response and the data shown in the system.</t>
  </si>
  <si>
    <t>Master platform is running.</t>
  </si>
  <si>
    <t>MASTER-03-TC14</t>
  </si>
  <si>
    <t>Verify verify return rejects invalid input (POST /api/v1/public/checkout/paypal/verify-return).</t>
  </si>
  <si>
    <t>1. Do not log in (public endpoint).
2. Send POST /api/v1/public/checkout/paypal/verify-return with missing required fields or invalid values (empty text, wrong format, out-of-range numbers, non-existing IDs).
3. Check the response and the data in the system.</t>
  </si>
  <si>
    <t>Handle se pay webhook (POST /api/v1/public/checkout/sepay-webhook)</t>
  </si>
  <si>
    <t>MASTER-03-TC15</t>
  </si>
  <si>
    <t>Verify handle se pay webhook succeeds with valid input (POST /api/v1/public/checkout/sepay-webhook).</t>
  </si>
  <si>
    <t>1. Do not log in (public endpoint).
2. Send POST /api/v1/public/checkout/sepay-webhook and a valid request body.
3. Check the response and the data shown in the system.</t>
  </si>
  <si>
    <t>MASTER-03-TC16</t>
  </si>
  <si>
    <t>Verify handle se pay webhook rejects invalid input (POST /api/v1/public/checkout/sepay-webhook).</t>
  </si>
  <si>
    <t>1. Do not log in (public endpoint).
2. Send POST /api/v1/public/checkout/sepay-webhook with missing required fields or invalid values (empty text, wrong format, out-of-range numbers, non-existing IDs).
3. Check the response and the data in the system.</t>
  </si>
  <si>
    <t>Create payment url (POST /api/v1/public/checkout/vnpay/create-url)</t>
  </si>
  <si>
    <t>MASTER-03-TC17</t>
  </si>
  <si>
    <t>Verify create payment url succeeds with valid input (POST /api/v1/public/checkout/vnpay/create-url).</t>
  </si>
  <si>
    <t>1. Do not log in (public endpoint).
2. Send POST /api/v1/public/checkout/vnpay/create-url and a valid request body.
3. Check the response and the data shown in the system.</t>
  </si>
  <si>
    <t>MASTER-03-TC18</t>
  </si>
  <si>
    <t>Verify create payment url rejects invalid input (POST /api/v1/public/checkout/vnpay/create-url).</t>
  </si>
  <si>
    <t>1. Do not log in (public endpoint).
2. Send POST /api/v1/public/checkout/vnpay/create-url with missing required fields or invalid values (empty text, wrong format, out-of-range numbers, non-existing IDs).
3. Check the response and the data in the system.</t>
  </si>
  <si>
    <t>Handle ipn (GET /api/v1/public/checkout/vnpay/ipn)</t>
  </si>
  <si>
    <t>MASTER-03-TC19</t>
  </si>
  <si>
    <t>Verify handle ipn succeeds with valid input (GET /api/v1/public/checkout/vnpay/ipn).</t>
  </si>
  <si>
    <t>1. Do not log in (public endpoint).
2. Send GET /api/v1/public/checkout/vnpay/ipn.
3. Check the response and the data shown in the system.</t>
  </si>
  <si>
    <t>Verify return (GET /api/v1/public/checkout/vnpay/verify-return)</t>
  </si>
  <si>
    <t>MASTER-03-TC20</t>
  </si>
  <si>
    <t>Verify verify return succeeds with valid input (GET /api/v1/public/checkout/vnpay/verify-return).</t>
  </si>
  <si>
    <t>1. Do not log in (public endpoint).
2. Send GET /api/v1/public/checkout/vnpay/verify-return.
3. Check the response and the data shown in the system.</t>
  </si>
  <si>
    <t>Handle se pay webhook (POST /api/v1/public/sepay/webhook)</t>
  </si>
  <si>
    <t>MASTER-03-TC21</t>
  </si>
  <si>
    <t>Verify handle se pay webhook succeeds with valid input (POST /api/v1/public/sepay/webhook).</t>
  </si>
  <si>
    <t>1. Do not log in (public endpoint).
2. Send POST /api/v1/public/sepay/webhook and a valid request body.
3. Check the response and the data shown in the system.</t>
  </si>
  <si>
    <t>MASTER-03-TC22</t>
  </si>
  <si>
    <t>Verify handle se pay webhook rejects invalid input (POST /api/v1/public/sepay/webhook).</t>
  </si>
  <si>
    <t>1. Do not log in (public endpoint).
2. Send POST /api/v1/public/sepay/webhook with missing required fields or invalid values (empty text, wrong format, out-of-range numbers, non-existing IDs).
3. Check the response and the data in the system.</t>
  </si>
  <si>
    <t>MASTER-03-TC23</t>
  </si>
  <si>
    <t>1. Send GET /api/v1/master/invoices without an Authorization header.
2. Send the same request with a valid token of a tenant user (e.g. Tenant Admin).</t>
  </si>
  <si>
    <t>MASTER-03-TC24</t>
  </si>
  <si>
    <t>Submit checkout (POST /api/v1/public/checkout)</t>
  </si>
  <si>
    <t>MASTER-04-TC04</t>
  </si>
  <si>
    <t>Verify submit checkout succeeds with valid input (POST /api/v1/public/checkout).</t>
  </si>
  <si>
    <t>1. Do not log in (public endpoint).
2. Send POST /api/v1/public/checkout and a valid request body.
3. Check the response and the data shown in the system.</t>
  </si>
  <si>
    <t>Failing automated tests: MasterBillingServiceTest.approveInvoice_PendingInvoice_ProvisionsTenantAndSendsMail, PublicCheckoutControllerTest.getPublicPlans_ReturnsActivePlansWithVndPricing</t>
  </si>
  <si>
    <t>MASTER-04-TC05</t>
  </si>
  <si>
    <t>Verify submit checkout rejects invalid input (POST /api/v1/public/checkout).</t>
  </si>
  <si>
    <t>1. Do not log in (public endpoint).
2. Send POST /api/v1/public/checkout with missing required fields or invalid values (empty text, wrong format, out-of-range numbers, non-existing IDs).
3. Check the response and the data in the system.</t>
  </si>
  <si>
    <t>Get public plans (GET /api/v1/public/checkout/plans)</t>
  </si>
  <si>
    <t>MASTER-04-TC06</t>
  </si>
  <si>
    <t>Verify get public plans succeeds with valid input (GET /api/v1/public/checkout/plans).</t>
  </si>
  <si>
    <t>1. Do not log in (public endpoint).
2. Send GET /api/v1/public/checkout/plans.
3. Check the response and the data shown in the system.</t>
  </si>
  <si>
    <t>Invoice (GET /api/v1/public/checkout/status/{id})</t>
  </si>
  <si>
    <t>MASTER-04-TC07</t>
  </si>
  <si>
    <t>Verify invoice succeeds with valid input (GET /api/v1/public/checkout/status/{id}).</t>
  </si>
  <si>
    <t>1. Do not log in (public endpoint).
2. Send GET /api/v1/public/checkout/status/{id}.
3. Check the response and the data shown in the system.</t>
  </si>
  <si>
    <t>MASTER-04-TC08</t>
  </si>
  <si>
    <t>1. Send  without an Authorization header.
2. Send the same request with a valid token of a tenant user (e.g. Tenant Admin).</t>
  </si>
  <si>
    <t>All endpoints of this feature are public (permitAll).</t>
  </si>
  <si>
    <t>MASTER-04-TC09</t>
  </si>
  <si>
    <t>Get all contracts (GET /api/v1/master/contracts)</t>
  </si>
  <si>
    <t>MASTER-05-TC04</t>
  </si>
  <si>
    <t>Verify get all contracts succeeds with valid input (GET /api/v1/master/contracts).</t>
  </si>
  <si>
    <t>1. Log in as Workspace Admin.
2. Send GET /api/v1/master/contracts.
3. Check the response and the data shown in the system.</t>
  </si>
  <si>
    <t>Verified by automated tests: DropboxSignContractServiceTest</t>
  </si>
  <si>
    <t>Create contract (POST /api/v1/master/contracts)</t>
  </si>
  <si>
    <t>MASTER-05-TC05</t>
  </si>
  <si>
    <t>Verify create contract succeeds with valid input (POST /api/v1/master/contracts).</t>
  </si>
  <si>
    <t>1. Log in as Workspace Admin.
2. Send POST /api/v1/master/contracts and a valid request body.
3. Check the response and the data shown in the system.</t>
  </si>
  <si>
    <t>MASTER-05-TC06</t>
  </si>
  <si>
    <t>Verify create contract rejects invalid input (POST /api/v1/master/contracts).</t>
  </si>
  <si>
    <t>1. Log in as Workspace Admin.
2. Send POST /api/v1/master/contracts with missing required fields or invalid values (empty text, wrong format, out-of-range numbers, non-existing IDs).
3. Check the response and the data in the system.</t>
  </si>
  <si>
    <t>Delete contract (DELETE /api/v1/master/contracts/{id})</t>
  </si>
  <si>
    <t>MASTER-05-TC07</t>
  </si>
  <si>
    <t>Verify delete contract succeeds with valid input (DELETE /api/v1/master/contracts/{id}).</t>
  </si>
  <si>
    <t>1. Log in as Workspace Admin.
2. Send DELETE /api/v1/master/contracts/{id}.
3. Check the response and the data shown in the system.</t>
  </si>
  <si>
    <t>MASTER-05-TC08</t>
  </si>
  <si>
    <t>Verify delete contract rejects invalid input (DELETE /api/v1/master/contracts/{id}).</t>
  </si>
  <si>
    <t>1. Log in as Workspace Admin.
2. Send DELETE /api/v1/master/contracts/{id} with missing required fields or invalid values (empty text, wrong format, out-of-range numbers, non-existing IDs).
3. Check the response and the data in the system.</t>
  </si>
  <si>
    <t>Get contract by id (GET /api/v1/master/contracts/{id})</t>
  </si>
  <si>
    <t>MASTER-05-TC09</t>
  </si>
  <si>
    <t>Verify get contract by id succeeds with valid input (GET /api/v1/master/contracts/{id}).</t>
  </si>
  <si>
    <t>1. Log in as Workspace Admin.
2. Send GET /api/v1/master/contracts/{id}.
3. Check the response and the data shown in the system.</t>
  </si>
  <si>
    <t>Update contract (PUT /api/v1/master/contracts/{id})</t>
  </si>
  <si>
    <t>MASTER-05-TC10</t>
  </si>
  <si>
    <t>Verify update contract succeeds with valid input (PUT /api/v1/master/contracts/{id}).</t>
  </si>
  <si>
    <t>1. Log in as Workspace Admin.
2. Send PUT /api/v1/master/contracts/{id} and a valid request body.
3. Check the response and the data shown in the system.</t>
  </si>
  <si>
    <t>MASTER-05-TC11</t>
  </si>
  <si>
    <t>Verify update contract rejects invalid input (PUT /api/v1/master/contracts/{id}).</t>
  </si>
  <si>
    <t>1. Log in as Workspace Admin.
2. Send PUT /api/v1/master/contracts/{id} with missing required fields or invalid values (empty text, wrong format, out-of-range numbers, non-existing IDs).
3. Check the response and the data in the system.</t>
  </si>
  <si>
    <t>Trail (GET /api/v1/master/contracts/{id}/pdf)</t>
  </si>
  <si>
    <t>MASTER-05-TC12</t>
  </si>
  <si>
    <t>Verify trail succeeds with valid input (GET /api/v1/master/contracts/{id}/pdf).</t>
  </si>
  <si>
    <t>1. Log in as Workspace Admin.
2. Send GET /api/v1/master/contracts/{id}/pdf.
3. Check the response and the data shown in the system.</t>
  </si>
  <si>
    <t>Send contract (POST /api/v1/master/contracts/{id}/send)</t>
  </si>
  <si>
    <t>MASTER-05-TC13</t>
  </si>
  <si>
    <t>Verify send contract succeeds with valid input (POST /api/v1/master/contracts/{id}/send).</t>
  </si>
  <si>
    <t>1. Log in as Workspace Admin.
2. Send POST /api/v1/master/contracts/{id}/send and a valid request body.
3. Check the response and the data shown in the system.</t>
  </si>
  <si>
    <t>MASTER-05-TC14</t>
  </si>
  <si>
    <t>Verify send contract rejects invalid input (POST /api/v1/master/contracts/{id}/send).</t>
  </si>
  <si>
    <t>1. Log in as Workspace Admin.
2. Send POST /api/v1/master/contracts/{id}/send with missing required fields or invalid values (empty text, wrong format, out-of-range numbers, non-existing IDs).
3. Check the response and the data in the system.</t>
  </si>
  <si>
    <t>Contract (PATCH /api/v1/master/contracts/{id}/status)</t>
  </si>
  <si>
    <t>MASTER-05-TC15</t>
  </si>
  <si>
    <t>Verify contract succeeds with valid input (PATCH /api/v1/master/contracts/{id}/status).</t>
  </si>
  <si>
    <t>1. Log in as Workspace Admin.
2. Send PATCH /api/v1/master/contracts/{id}/status and a valid request body.
3. Check the response and the data shown in the system.</t>
  </si>
  <si>
    <t>MASTER-05-TC16</t>
  </si>
  <si>
    <t>Verify contract rejects invalid input (PATCH /api/v1/master/contracts/{id}/status).</t>
  </si>
  <si>
    <t>1. Log in as Workspace Admin.
2. Send PATCH /api/v1/master/contracts/{id}/status with missing required fields or invalid values (empty text, wrong format, out-of-range numbers, non-existing IDs).
3. Check the response and the data in the system.</t>
  </si>
  <si>
    <t>Sync esign status (POST /api/v1/master/contracts/{id}/sync-esign)</t>
  </si>
  <si>
    <t>MASTER-05-TC17</t>
  </si>
  <si>
    <t>Verify sync esign status succeeds with valid input (POST /api/v1/master/contracts/{id}/sync-esign).</t>
  </si>
  <si>
    <t>1. Log in as Workspace Admin.
2. Send POST /api/v1/master/contracts/{id}/sync-esign and a valid request body.
3. Check the response and the data shown in the system.</t>
  </si>
  <si>
    <t>MASTER-05-TC18</t>
  </si>
  <si>
    <t>Verify sync esign status rejects invalid input (POST /api/v1/master/contracts/{id}/sync-esign).</t>
  </si>
  <si>
    <t>1. Log in as Workspace Admin.
2. Send POST /api/v1/master/contracts/{id}/sync-esign with missing required fields or invalid values (empty text, wrong format, out-of-range numbers, non-existing IDs).
3. Check the response and the data in the system.</t>
  </si>
  <si>
    <t>Events (POST /api/v1/public/contracts/webhook/dropbox-sign)</t>
  </si>
  <si>
    <t>MASTER-05-TC19</t>
  </si>
  <si>
    <t>Verify events succeeds with valid input (POST /api/v1/public/contracts/webhook/dropbox-sign).</t>
  </si>
  <si>
    <t>1. Do not log in (public endpoint).
2. Send POST /api/v1/public/contracts/webhook/dropbox-sign and a valid request body.
3. Check the response and the data shown in the system.</t>
  </si>
  <si>
    <t>MASTER-05-TC20</t>
  </si>
  <si>
    <t>Verify events rejects invalid input (POST /api/v1/public/contracts/webhook/dropbox-sign).</t>
  </si>
  <si>
    <t>1. Do not log in (public endpoint).
2. Send POST /api/v1/public/contracts/webhook/dropbox-sign with missing required fields or invalid values (empty text, wrong format, out-of-range numbers, non-existing IDs).
3. Check the response and the data in the system.</t>
  </si>
  <si>
    <t>Get contract by token (GET /api/v1/public/contracts/{id})</t>
  </si>
  <si>
    <t>MASTER-05-TC21</t>
  </si>
  <si>
    <t>Verify get contract by token succeeds with valid input (GET /api/v1/public/contracts/{id}).</t>
  </si>
  <si>
    <t>1. Do not log in (public endpoint).
2. Send GET /api/v1/public/contracts/{id}.
3. Check the response and the data shown in the system.</t>
  </si>
  <si>
    <t>Trail (GET /api/v1/public/contracts/{id}/pdf)</t>
  </si>
  <si>
    <t>MASTER-05-TC22</t>
  </si>
  <si>
    <t>Verify trail succeeds with valid input (GET /api/v1/public/contracts/{id}/pdf).</t>
  </si>
  <si>
    <t>1. Do not log in (public endpoint).
2. Send GET /api/v1/public/contracts/{id}/pdf.
3. Check the response and the data shown in the system.</t>
  </si>
  <si>
    <t>Sync esign by token (POST /api/v1/public/contracts/{id}/sync-esign)</t>
  </si>
  <si>
    <t>MASTER-05-TC23</t>
  </si>
  <si>
    <t>Verify sync esign by token succeeds with valid input (POST /api/v1/public/contracts/{id}/sync-esign).</t>
  </si>
  <si>
    <t>1. Do not log in (public endpoint).
2. Send POST /api/v1/public/contracts/{id}/sync-esign and a valid request body.
3. Check the response and the data shown in the system.</t>
  </si>
  <si>
    <t>MASTER-05-TC24</t>
  </si>
  <si>
    <t>Verify sync esign by token rejects invalid input (POST /api/v1/public/contracts/{id}/sync-esign).</t>
  </si>
  <si>
    <t>1. Do not log in (public endpoint).
2. Send POST /api/v1/public/contracts/{id}/sync-esign with missing required fields or invalid values (empty text, wrong format, out-of-range numbers, non-existing IDs).
3. Check the response and the data in the system.</t>
  </si>
  <si>
    <t>MASTER-05-TC25</t>
  </si>
  <si>
    <t>1. Send GET /api/v1/master/contracts without an Authorization header.
2. Send the same request with a valid token of a tenant user (e.g. Tenant Admin).</t>
  </si>
  <si>
    <t>MASTER-05-TC26</t>
  </si>
  <si>
    <t>Get all requests (GET /api/v1/master/consultations)</t>
  </si>
  <si>
    <t>MASTER-06-TC04</t>
  </si>
  <si>
    <t>Verify get all requests succeeds with valid input (GET /api/v1/master/consultations).</t>
  </si>
  <si>
    <t>1. Log in as Workspace Admin.
2. Send GET /api/v1/master/consultations.
3. Check the response and the data shown in the system.</t>
  </si>
  <si>
    <t>Not tested: no automated test covers this feature yet.</t>
  </si>
  <si>
    <t>Create request (POST /api/v1/master/consultations)</t>
  </si>
  <si>
    <t>MASTER-06-TC05</t>
  </si>
  <si>
    <t>Verify create request succeeds with valid input (POST /api/v1/master/consultations).</t>
  </si>
  <si>
    <t>1. Do not log in (public endpoint).
2. Send POST /api/v1/master/consultations and a valid request body.
3. Check the response and the data shown in the system.</t>
  </si>
  <si>
    <t>MASTER-06-TC06</t>
  </si>
  <si>
    <t>Verify create request rejects invalid input (POST /api/v1/master/consultations).</t>
  </si>
  <si>
    <t>1. Do not log in (public endpoint).
2. Send POST /api/v1/master/consultations with missing required fields or invalid values (empty text, wrong format, out-of-range numbers, non-existing IDs).
3. Check the response and the data in the system.</t>
  </si>
  <si>
    <t>Get request by id (GET /api/v1/master/consultations/{id})</t>
  </si>
  <si>
    <t>MASTER-06-TC07</t>
  </si>
  <si>
    <t>Verify get request by id succeeds with valid input (GET /api/v1/master/consultations/{id}).</t>
  </si>
  <si>
    <t>1. Log in as Workspace Admin.
2. Send GET /api/v1/master/consultations/{id}.
3. Check the response and the data shown in the system.</t>
  </si>
  <si>
    <t>Update status (PATCH /api/v1/master/consultations/{id}/status)</t>
  </si>
  <si>
    <t>MASTER-06-TC08</t>
  </si>
  <si>
    <t>Verify update status succeeds with valid input (PATCH /api/v1/master/consultations/{id}/status).</t>
  </si>
  <si>
    <t>1. Log in as Workspace Admin.
2. Send PATCH /api/v1/master/consultations/{id}/status and a valid request body.
3. Check the response and the data shown in the system.</t>
  </si>
  <si>
    <t>MASTER-06-TC09</t>
  </si>
  <si>
    <t>Verify update status rejects invalid input (PATCH /api/v1/master/consultations/{id}/status).</t>
  </si>
  <si>
    <t>1. Log in as Workspace Admin.
2. Send PATCH /api/v1/master/consultations/{id}/status with missing required fields or invalid values (empty text, wrong format, out-of-range numbers, non-existing IDs).
3. Check the response and the data in the system.</t>
  </si>
  <si>
    <t>MASTER-06-TC10</t>
  </si>
  <si>
    <t>1. Send GET /api/v1/master/consultations without an Authorization header.
2. Send the same request with a valid token of a tenant user (e.g. Tenant Admin).</t>
  </si>
  <si>
    <t>MASTER-06-TC11</t>
  </si>
  <si>
    <t>Get provider keys (GET /api/v1/master/ai/keys)</t>
  </si>
  <si>
    <t>MASTER-07-TC03</t>
  </si>
  <si>
    <t>Verify get provider keys succeeds with valid input (GET /api/v1/master/ai/keys).</t>
  </si>
  <si>
    <t>1. Log in as Workspace Admin.
2. Send GET /api/v1/master/ai/keys.
3. Check the response and the data shown in the system.</t>
  </si>
  <si>
    <t>Save provider key (POST /api/v1/master/ai/keys)</t>
  </si>
  <si>
    <t>MASTER-07-TC04</t>
  </si>
  <si>
    <t>Verify save provider key succeeds with valid input (POST /api/v1/master/ai/keys).</t>
  </si>
  <si>
    <t>1. Log in as Workspace Admin.
2. Send POST /api/v1/master/ai/keys and a valid request body.
3. Check the response and the data shown in the system.</t>
  </si>
  <si>
    <t>MASTER-07-TC05</t>
  </si>
  <si>
    <t>Verify save provider key rejects invalid input (POST /api/v1/master/ai/keys).</t>
  </si>
  <si>
    <t>1. Log in as Workspace Admin.
2. Send POST /api/v1/master/ai/keys with missing required fields or invalid values (empty text, wrong format, out-of-range numbers, non-existing IDs).
3. Check the response and the data in the system.</t>
  </si>
  <si>
    <t>Delete provider key (DELETE /api/v1/master/ai/keys/{id})</t>
  </si>
  <si>
    <t>MASTER-07-TC06</t>
  </si>
  <si>
    <t>Verify delete provider key succeeds with valid input (DELETE /api/v1/master/ai/keys/{id}).</t>
  </si>
  <si>
    <t>1. Log in as Workspace Admin.
2. Send DELETE /api/v1/master/ai/keys/{id}.
3. Check the response and the data shown in the system.</t>
  </si>
  <si>
    <t>MASTER-07-TC07</t>
  </si>
  <si>
    <t>Verify delete provider key rejects invalid input (DELETE /api/v1/master/ai/keys/{id}).</t>
  </si>
  <si>
    <t>1. Log in as Workspace Admin.
2. Send DELETE /api/v1/master/ai/keys/{id} with missing required fields or invalid values (empty text, wrong format, out-of-range numbers, non-existing IDs).
3. Check the response and the data in the system.</t>
  </si>
  <si>
    <t>Get model pricings (GET /api/v1/master/ai/pricings)</t>
  </si>
  <si>
    <t>MASTER-07-TC08</t>
  </si>
  <si>
    <t>Verify get model pricings succeeds with valid input (GET /api/v1/master/ai/pricings).</t>
  </si>
  <si>
    <t>1. Log in as Workspace Admin.
2. Send GET /api/v1/master/ai/pricings.
3. Check the response and the data shown in the system.</t>
  </si>
  <si>
    <t>Save model pricing (POST /api/v1/master/ai/pricings)</t>
  </si>
  <si>
    <t>MASTER-07-TC09</t>
  </si>
  <si>
    <t>Verify save model pricing succeeds with valid input (POST /api/v1/master/ai/pricings).</t>
  </si>
  <si>
    <t>1. Log in as Workspace Admin.
2. Send POST /api/v1/master/ai/pricings and a valid request body.
3. Check the response and the data shown in the system.</t>
  </si>
  <si>
    <t>MASTER-07-TC10</t>
  </si>
  <si>
    <t>Verify save model pricing rejects invalid input (POST /api/v1/master/ai/pricings).</t>
  </si>
  <si>
    <t>1. Log in as Workspace Admin.
2. Send POST /api/v1/master/ai/pricings with missing required fields or invalid values (empty text, wrong format, out-of-range numbers, non-existing IDs).
3. Check the response and the data in the system.</t>
  </si>
  <si>
    <t>Delete model pricing (DELETE /api/v1/master/ai/pricings/{id})</t>
  </si>
  <si>
    <t>MASTER-07-TC11</t>
  </si>
  <si>
    <t>Verify delete model pricing succeeds with valid input (DELETE /api/v1/master/ai/pricings/{id}).</t>
  </si>
  <si>
    <t>1. Log in as Workspace Admin.
2. Send DELETE /api/v1/master/ai/pricings/{id}.
3. Check the response and the data shown in the system.</t>
  </si>
  <si>
    <t>MASTER-07-TC12</t>
  </si>
  <si>
    <t>Verify delete model pricing rejects invalid input (DELETE /api/v1/master/ai/pricings/{id}).</t>
  </si>
  <si>
    <t>1. Log in as Workspace Admin.
2. Send DELETE /api/v1/master/ai/pricings/{id} with missing required fields or invalid values (empty text, wrong format, out-of-range numbers, non-existing IDs).
3. Check the response and the data in the system.</t>
  </si>
  <si>
    <t>Get tenant ai quotas (GET /api/v1/master/ai/quotas)</t>
  </si>
  <si>
    <t>MASTER-07-TC13</t>
  </si>
  <si>
    <t>Verify get tenant ai quotas succeeds with valid input (GET /api/v1/master/ai/quotas).</t>
  </si>
  <si>
    <t>1. Log in as Workspace Admin.
2. Send GET /api/v1/master/ai/quotas.
3. Check the response and the data shown in the system.</t>
  </si>
  <si>
    <t>Update tenant ai quota (PUT /api/v1/master/ai/quotas/{id})</t>
  </si>
  <si>
    <t>MASTER-07-TC14</t>
  </si>
  <si>
    <t>Verify update tenant ai quota succeeds with valid input (PUT /api/v1/master/ai/quotas/{id}).</t>
  </si>
  <si>
    <t>1. Log in as Workspace Admin.
2. Send PUT /api/v1/master/ai/quotas/{id} and a valid request body.
3. Check the response and the data shown in the system.</t>
  </si>
  <si>
    <t>MASTER-07-TC15</t>
  </si>
  <si>
    <t>Verify update tenant ai quota rejects invalid input (PUT /api/v1/master/ai/quotas/{id}).</t>
  </si>
  <si>
    <t>1. Log in as Workspace Admin.
2. Send PUT /api/v1/master/ai/quotas/{id} with missing required fields or invalid values (empty text, wrong format, out-of-range numbers, non-existing IDs).
3. Check the response and the data in the system.</t>
  </si>
  <si>
    <t>Config (GET /api/v1/master/ai/rate-limit)</t>
  </si>
  <si>
    <t>MASTER-07-TC16</t>
  </si>
  <si>
    <t>Verify config succeeds with valid input (GET /api/v1/master/ai/rate-limit).</t>
  </si>
  <si>
    <t>1. Log in as Workspace Admin.
2. Send GET /api/v1/master/ai/rate-limit.
3. Check the response and the data shown in the system.</t>
  </si>
  <si>
    <t>Config (PUT /api/v1/master/ai/rate-limit)</t>
  </si>
  <si>
    <t>MASTER-07-TC17</t>
  </si>
  <si>
    <t>Verify config succeeds with valid input (PUT /api/v1/master/ai/rate-limit).</t>
  </si>
  <si>
    <t>1. Log in as Workspace Admin.
2. Send PUT /api/v1/master/ai/rate-limit and a valid request body.
3. Check the response and the data shown in the system.</t>
  </si>
  <si>
    <t>MASTER-07-TC18</t>
  </si>
  <si>
    <t>Verify config rejects invalid input (PUT /api/v1/master/ai/rate-limit).</t>
  </si>
  <si>
    <t>1. Log in as Workspace Admin.
2. Send PUT /api/v1/master/ai/rate-limit with missing required fields or invalid values (empty text, wrong format, out-of-range numbers, non-existing IDs).
3. Check the response and the data in the system.</t>
  </si>
  <si>
    <t>Get task configs (GET /api/v1/master/ai/tasks)</t>
  </si>
  <si>
    <t>MASTER-07-TC19</t>
  </si>
  <si>
    <t>Verify get task configs succeeds with valid input (GET /api/v1/master/ai/tasks).</t>
  </si>
  <si>
    <t>1. Log in as Workspace Admin.
2. Send GET /api/v1/master/ai/tasks.
3. Check the response and the data shown in the system.</t>
  </si>
  <si>
    <t>Update task config (PUT /api/v1/master/ai/tasks/{id})</t>
  </si>
  <si>
    <t>MASTER-07-TC20</t>
  </si>
  <si>
    <t>Verify update task config succeeds with valid input (PUT /api/v1/master/ai/tasks/{id}).</t>
  </si>
  <si>
    <t>1. Log in as Workspace Admin.
2. Send PUT /api/v1/master/ai/tasks/{id} and a valid request body.
3. Check the response and the data shown in the system.</t>
  </si>
  <si>
    <t>MASTER-07-TC21</t>
  </si>
  <si>
    <t>Verify update task config rejects invalid input (PUT /api/v1/master/ai/tasks/{id}).</t>
  </si>
  <si>
    <t>1. Log in as Workspace Admin.
2. Send PUT /api/v1/master/ai/tasks/{id} with missing required fields or invalid values (empty text, wrong format, out-of-range numbers, non-existing IDs).
3. Check the response and the data in the system.</t>
  </si>
  <si>
    <t>Provider (POST /api/v1/master/ai/test-connection)</t>
  </si>
  <si>
    <t>MASTER-07-TC22</t>
  </si>
  <si>
    <t>Verify provider succeeds with valid input (POST /api/v1/master/ai/test-connection).</t>
  </si>
  <si>
    <t>1. Log in as Workspace Admin.
2. Send POST /api/v1/master/ai/test-connection and a valid request body.
3. Check the response and the data shown in the system.</t>
  </si>
  <si>
    <t>MASTER-07-TC23</t>
  </si>
  <si>
    <t>Verify provider rejects invalid input (POST /api/v1/master/ai/test-connection).</t>
  </si>
  <si>
    <t>1. Log in as Workspace Admin.
2. Send POST /api/v1/master/ai/test-connection with missing required fields or invalid values (empty text, wrong format, out-of-range numbers, non-existing IDs).
3. Check the response and the data in the system.</t>
  </si>
  <si>
    <t>Get ai usage report (GET /api/v1/master/ai/usage-report)</t>
  </si>
  <si>
    <t>MASTER-07-TC24</t>
  </si>
  <si>
    <t>Verify get ai usage report succeeds with valid input (GET /api/v1/master/ai/usage-report).</t>
  </si>
  <si>
    <t>1. Log in as Workspace Admin.
2. Send GET /api/v1/master/ai/usage-report.
3. Check the response and the data shown in the system.</t>
  </si>
  <si>
    <t>Get system settings (GET /api/v1/master/system/settings)</t>
  </si>
  <si>
    <t>MASTER-07-TC25</t>
  </si>
  <si>
    <t>Verify get system settings succeeds with valid input (GET /api/v1/master/system/settings).</t>
  </si>
  <si>
    <t>1. Log in as Workspace Admin.
2. Send GET /api/v1/master/system/settings.
3. Check the response and the data shown in the system.</t>
  </si>
  <si>
    <t>Save system setting (POST /api/v1/master/system/settings)</t>
  </si>
  <si>
    <t>MASTER-07-TC26</t>
  </si>
  <si>
    <t>Verify save system setting succeeds with valid input (POST /api/v1/master/system/settings).</t>
  </si>
  <si>
    <t>1. Log in as Workspace Admin.
2. Send POST /api/v1/master/system/settings and a valid request body.
3. Check the response and the data shown in the system.</t>
  </si>
  <si>
    <t>MASTER-07-TC27</t>
  </si>
  <si>
    <t>Verify save system setting rejects invalid input (POST /api/v1/master/system/settings).</t>
  </si>
  <si>
    <t>1. Log in as Workspace Admin.
2. Send POST /api/v1/master/system/settings with missing required fields or invalid values (empty text, wrong format, out-of-range numbers, non-existing IDs).
3. Check the response and the data in the system.</t>
  </si>
  <si>
    <t>MASTER-07-TC28</t>
  </si>
  <si>
    <t>1. Send GET /api/v1/master/ai/keys without an Authorization header.
2. Send the same request with a valid token of a tenant user (e.g. Tenant Admin).</t>
  </si>
  <si>
    <t>MASTER-07-TC29</t>
  </si>
  <si>
    <t>Get ai quota usage (GET /api/v1/master/analytics/ai-quota)</t>
  </si>
  <si>
    <t>MASTER-08-TC04</t>
  </si>
  <si>
    <t>Verify get ai quota usage succeeds with valid input (GET /api/v1/master/analytics/ai-quota).</t>
  </si>
  <si>
    <t>1. Log in as Workspace Admin.
2. Send GET /api/v1/master/analytics/ai-quota.
3. Check the response and the data shown in the system.</t>
  </si>
  <si>
    <t>Nguyễn Minh Hiếu</t>
  </si>
  <si>
    <t>Get system audit logs (GET /api/v1/master/analytics/logs)</t>
  </si>
  <si>
    <t>MASTER-08-TC05</t>
  </si>
  <si>
    <t>Verify get system audit logs succeeds with valid input (GET /api/v1/master/analytics/logs).</t>
  </si>
  <si>
    <t>1. Log in as Workspace Admin.
2. Send GET /api/v1/master/analytics/logs.
3. Check the response and the data shown in the system.</t>
  </si>
  <si>
    <t>Get revenue analytics (GET /api/v1/master/analytics/revenue)</t>
  </si>
  <si>
    <t>MASTER-08-TC06</t>
  </si>
  <si>
    <t>Verify get revenue analytics succeeds with valid input (GET /api/v1/master/analytics/revenue).</t>
  </si>
  <si>
    <t>1. Log in as Workspace Admin.
2. Send GET /api/v1/master/analytics/revenue.
3. Check the response and the data shown in the system.</t>
  </si>
  <si>
    <t>MASTER-08-TC07</t>
  </si>
  <si>
    <t>1. Send GET /api/v1/master/analytics/ai-quota without an Authorization header.
2. Send the same request with a valid token of a tenant user (e.g. Tenant Admin).</t>
  </si>
  <si>
    <t>MASTER-08-TC08</t>
  </si>
  <si>
    <t>Job test (POST /api/v1/assessments/create_draft_test)</t>
  </si>
  <si>
    <t>ASSESS-01-TC19</t>
  </si>
  <si>
    <t>Verify job test succeeds with valid input (POST /api/v1/assessments/create_draft_test).</t>
  </si>
  <si>
    <t>1. Log in as Recruiter of tenant A.
2. Send POST /api/v1/assessments/create_draft_test with header X-Tenant-ID = tenant A and a valid request body.
3. Check the response and the data shown in the system.</t>
  </si>
  <si>
    <t>Tenant A is ACTIVE. The Recruiter account has permission for this action.</t>
  </si>
  <si>
    <t>08/10/2026</t>
  </si>
  <si>
    <t>Lê Mỹ Lộc</t>
  </si>
  <si>
    <t>Verified by automated tests: ApiResponseTest, AssessmentFlowTest, AssessmentInvitationServiceTest ...</t>
  </si>
  <si>
    <t>ASSESS-01-TC20</t>
  </si>
  <si>
    <t>Verify job test rejects invalid input (POST /api/v1/assessments/create_draft_test).</t>
  </si>
  <si>
    <t>1. Log in as Recruiter of tenant A.
2. Send POST /api/v1/assessments/create_draft_test with header X-Tenant-ID = tenant A with missing required fields or invalid values (empty text, wrong format, out-of-range numbers, non-existing IDs).
3. Check the response and the data in the system.</t>
  </si>
  <si>
    <t>Tenant (GET /api/v1/assessments/list_tenant_tests)</t>
  </si>
  <si>
    <t>ASSESS-01-TC21</t>
  </si>
  <si>
    <t>Verify tenant succeeds with valid input (GET /api/v1/assessments/list_tenant_tests).</t>
  </si>
  <si>
    <t>1. Log in as Recruiter of tenant A.
2. Send GET /api/v1/assessments/list_tenant_tests with header X-Tenant-ID = tenant A.
3. Check the response and the data shown in the system.</t>
  </si>
  <si>
    <t>HTTP 200. Response success = true and contains the requested data of tenant A only.</t>
  </si>
  <si>
    <t>Id (GET /api/v1/assessments/get_test_metadata/{id})</t>
  </si>
  <si>
    <t>ASSESS-01-TC22</t>
  </si>
  <si>
    <t>Verify id succeeds with valid input (GET /api/v1/assessments/get_test_metadata/{id}).</t>
  </si>
  <si>
    <t>1. Log in as Recruiter of tenant A.
2. Send GET /api/v1/assessments/get_test_metadata/{id} with header X-Tenant-ID = tenant A.
3. Check the response and the data shown in the system.</t>
  </si>
  <si>
    <t>Tenant A is ACTIVE. The Recruiter account has permission for this action. The target resource exists.</t>
  </si>
  <si>
    <t>Metadata (PUT /api/v1/assessments/update_draft_test/{id})</t>
  </si>
  <si>
    <t>ASSESS-01-TC23</t>
  </si>
  <si>
    <t>Verify metadata succeeds with valid input (PUT /api/v1/assessments/update_draft_test/{id}).</t>
  </si>
  <si>
    <t>1. Log in as Recruiter of tenant A.
2. Send PUT /api/v1/assessments/update_draft_test/{id} with header X-Tenant-ID = tenant A and a valid request body.
3. Check the response and the data shown in the system.</t>
  </si>
  <si>
    <t>ASSESS-01-TC24</t>
  </si>
  <si>
    <t>Verify metadata rejects invalid input (PUT /api/v1/assessments/update_draft_test/{id}).</t>
  </si>
  <si>
    <t>1. Log in as Recruiter of tenant A.
2. Send PUT /api/v1/assessments/update_draft_test/{id} with header X-Tenant-ID = tenant A with missing required fields or invalid values (empty text, wrong format, out-of-range numbers, non-existing IDs).
3. Check the response and the data in the system.</t>
  </si>
  <si>
    <t>Job test (GET /api/v1/assessments/{id}/list_questions)</t>
  </si>
  <si>
    <t>ASSESS-01-TC25</t>
  </si>
  <si>
    <t>Verify job test succeeds with valid input (GET /api/v1/assessments/{id}/list_questions).</t>
  </si>
  <si>
    <t>1. Log in as Recruiter of tenant A.
2. Send GET /api/v1/assessments/{id}/list_questions with header X-Tenant-ID = tenant A.
3. Check the response and the data shown in the system.</t>
  </si>
  <si>
    <t>Job test (POST /api/v1/assessments/{id}/create_question)</t>
  </si>
  <si>
    <t>ASSESS-01-TC26</t>
  </si>
  <si>
    <t>Verify job test succeeds with valid input (POST /api/v1/assessments/{id}/create_question).</t>
  </si>
  <si>
    <t>1. Log in as Recruiter of tenant A.
2. Send POST /api/v1/assessments/{id}/create_question with header X-Tenant-ID = tenant A and a valid request body.
3. Check the response and the data shown in the system.</t>
  </si>
  <si>
    <t>ASSESS-01-TC27</t>
  </si>
  <si>
    <t>Verify job test rejects invalid input (POST /api/v1/assessments/{id}/create_question).</t>
  </si>
  <si>
    <t>1. Log in as Recruiter of tenant A.
2. Send POST /api/v1/assessments/{id}/create_question with header X-Tenant-ID = tenant A with missing required fields or invalid values (empty text, wrong format, out-of-range numbers, non-existing IDs).
3. Check the response and the data in the system.</t>
  </si>
  <si>
    <t>Options (PUT /api/v1/assessments/{id}/update_question/{id})</t>
  </si>
  <si>
    <t>ASSESS-01-TC28</t>
  </si>
  <si>
    <t>Verify options succeeds with valid input (PUT /api/v1/assessments/{id}/update_question/{id}).</t>
  </si>
  <si>
    <t>1. Log in as Recruiter of tenant A.
2. Send PUT /api/v1/assessments/{id}/update_question/{id} with header X-Tenant-ID = tenant A and a valid request body.
3. Check the response and the data shown in the system.</t>
  </si>
  <si>
    <t>ASSESS-01-TC29</t>
  </si>
  <si>
    <t>Verify options rejects invalid input (PUT /api/v1/assessments/{id}/update_question/{id}).</t>
  </si>
  <si>
    <t>1. Log in as Recruiter of tenant A.
2. Send PUT /api/v1/assessments/{id}/update_question/{id} with header X-Tenant-ID = tenant A with missing required fields or invalid values (empty text, wrong format, out-of-range numbers, non-existing IDs).
3. Check the response and the data in the system.</t>
  </si>
  <si>
    <t>Options (DELETE /api/v1/assessments/{id}/delete_question/{id})</t>
  </si>
  <si>
    <t>ASSESS-01-TC30</t>
  </si>
  <si>
    <t>Verify options succeeds with valid input (DELETE /api/v1/assessments/{id}/delete_question/{id}).</t>
  </si>
  <si>
    <t>1. Log in as Recruiter of tenant A.
2. Send DELETE /api/v1/assessments/{id}/delete_question/{id} with header X-Tenant-ID = tenant A.
3. Check the response and the data shown in the system.</t>
  </si>
  <si>
    <t>ASSESS-01-TC31</t>
  </si>
  <si>
    <t>Verify options rejects invalid input (DELETE /api/v1/assessments/{id}/delete_question/{id}).</t>
  </si>
  <si>
    <t>1. Log in as Recruiter of tenant A.
2. Send DELETE /api/v1/assessments/{id}/delete_question/{id} with header X-Tenant-ID = tenant A with missing required fields or invalid values (empty text, wrong format, out-of-range numbers, non-existing IDs).
3. Check the response and the data in the system.</t>
  </si>
  <si>
    <t>Job test (POST /api/v1/assessments/{id}/publish_test)</t>
  </si>
  <si>
    <t>ASSESS-01-TC32</t>
  </si>
  <si>
    <t>Verify job test succeeds with valid input (POST /api/v1/assessments/{id}/publish_test).</t>
  </si>
  <si>
    <t>1. Log in as Recruiter of tenant A.
2. Send POST /api/v1/assessments/{id}/publish_test with header X-Tenant-ID = tenant A and a valid request body.
3. Check the response and the data shown in the system.</t>
  </si>
  <si>
    <t>ASSESS-01-TC33</t>
  </si>
  <si>
    <t>Verify job test rejects invalid input (POST /api/v1/assessments/{id}/publish_test).</t>
  </si>
  <si>
    <t>1. Log in as Recruiter of tenant A.
2. Send POST /api/v1/assessments/{id}/publish_test with header X-Tenant-ID = tenant A with missing required fields or invalid values (empty text, wrong format, out-of-range numbers, non-existing IDs).
3. Check the response and the data in the system.</t>
  </si>
  <si>
    <t>Submission (POST /api/v1/assessments/{id}/start_submission)</t>
  </si>
  <si>
    <t>ASSESS-01-TC34</t>
  </si>
  <si>
    <t>Verify submission succeeds with valid input (POST /api/v1/assessments/{id}/start_submission).</t>
  </si>
  <si>
    <t>1. Log in as Recruiter of tenant A.
2. Send POST /api/v1/assessments/{id}/start_submission with header X-Tenant-ID = tenant A and a valid request body.
3. Check the response and the data shown in the system.</t>
  </si>
  <si>
    <t>ASSESS-01-TC35</t>
  </si>
  <si>
    <t>Verify submission rejects invalid input (POST /api/v1/assessments/{id}/start_submission).</t>
  </si>
  <si>
    <t>1. Log in as Recruiter of tenant A.
2. Send POST /api/v1/assessments/{id}/start_submission with header X-Tenant-ID = tenant A with missing required fields or invalid values (empty text, wrong format, out-of-range numbers, non-existing IDs).
3. Check the response and the data in the system.</t>
  </si>
  <si>
    <t>Deadline (GET /api/v1/submissions/{id}/get_submission)</t>
  </si>
  <si>
    <t>ASSESS-01-TC36</t>
  </si>
  <si>
    <t>Verify deadline succeeds with valid input (GET /api/v1/submissions/{id}/get_submission).</t>
  </si>
  <si>
    <t>1. Log in as Recruiter of tenant A.
2. Send GET /api/v1/submissions/{id}/get_submission with header X-Tenant-ID = tenant A.
3. Check the response and the data shown in the system.</t>
  </si>
  <si>
    <t>Answers (POST /api/v1/submissions/{id}/save_answers)</t>
  </si>
  <si>
    <t>ASSESS-01-TC37</t>
  </si>
  <si>
    <t>Verify answers succeeds with valid input (POST /api/v1/submissions/{id}/save_answers).</t>
  </si>
  <si>
    <t>1. Log in as Recruiter of tenant A.
2. Send POST /api/v1/submissions/{id}/save_answers with header X-Tenant-ID = tenant A and a valid request body.
3. Check the response and the data shown in the system.</t>
  </si>
  <si>
    <t>ASSESS-01-TC38</t>
  </si>
  <si>
    <t>Verify answers rejects invalid input (POST /api/v1/submissions/{id}/save_answers).</t>
  </si>
  <si>
    <t>1. Log in as Recruiter of tenant A.
2. Send POST /api/v1/submissions/{id}/save_answers with header X-Tenant-ID = tenant A with missing required fields or invalid values (empty text, wrong format, out-of-range numbers, non-existing IDs).
3. Check the response and the data in the system.</t>
  </si>
  <si>
    <t>Answers (POST /api/v1/submissions/{id}/submit_test)</t>
  </si>
  <si>
    <t>ASSESS-01-TC39</t>
  </si>
  <si>
    <t>Verify answers succeeds with valid input (POST /api/v1/submissions/{id}/submit_test).</t>
  </si>
  <si>
    <t>1. Log in as Recruiter of tenant A.
2. Send POST /api/v1/submissions/{id}/submit_test with header X-Tenant-ID = tenant A and a valid request body.
3. Check the response and the data shown in the system.</t>
  </si>
  <si>
    <t>ASSESS-01-TC40</t>
  </si>
  <si>
    <t>Verify answers rejects invalid input (POST /api/v1/submissions/{id}/submit_test).</t>
  </si>
  <si>
    <t>1. Log in as Recruiter of tenant A.
2. Send POST /api/v1/submissions/{id}/submit_test with header X-Tenant-ID = tenant A with missing required fields or invalid values (empty text, wrong format, out-of-range numbers, non-existing IDs).
3. Check the response and the data in the system.</t>
  </si>
  <si>
    <t>Tenant (GET /api/v1/question-bank/list_questions)</t>
  </si>
  <si>
    <t>ASSESS-01-TC41</t>
  </si>
  <si>
    <t>Verify tenant succeeds with valid input (GET /api/v1/question-bank/list_questions).</t>
  </si>
  <si>
    <t>1. Log in as Recruiter of tenant A.
2. Send GET /api/v1/question-bank/list_questions with header X-Tenant-ID = tenant A.
3. Check the response and the data shown in the system.</t>
  </si>
  <si>
    <t>Metadata (GET /api/v1/question-bank/get_question/{id})</t>
  </si>
  <si>
    <t>ASSESS-01-TC42</t>
  </si>
  <si>
    <t>Verify metadata succeeds with valid input (GET /api/v1/question-bank/get_question/{id}).</t>
  </si>
  <si>
    <t>1. Log in as Recruiter of tenant A.
2. Send GET /api/v1/question-bank/get_question/{id} with header X-Tenant-ID = tenant A.
3. Check the response and the data shown in the system.</t>
  </si>
  <si>
    <t>Assessment (POST /api/v1/question-bank/create_questions)</t>
  </si>
  <si>
    <t>ASSESS-01-TC43</t>
  </si>
  <si>
    <t>Verify assessment succeeds with valid input (POST /api/v1/question-bank/create_questions).</t>
  </si>
  <si>
    <t>1. Log in as Recruiter of tenant A.
2. Send POST /api/v1/question-bank/create_questions with header X-Tenant-ID = tenant A and a valid request body.
3. Check the response and the data shown in the system.</t>
  </si>
  <si>
    <t>ASSESS-01-TC44</t>
  </si>
  <si>
    <t>Verify assessment rejects invalid input (POST /api/v1/question-bank/create_questions).</t>
  </si>
  <si>
    <t>1. Log in as Recruiter of tenant A.
2. Send POST /api/v1/question-bank/create_questions with header X-Tenant-ID = tenant A with missing required fields or invalid values (empty text, wrong format, out-of-range numbers, non-existing IDs).
3. Check the response and the data in the system.</t>
  </si>
  <si>
    <t>Options (PUT /api/v1/question-bank/update_question/{id})</t>
  </si>
  <si>
    <t>ASSESS-01-TC45</t>
  </si>
  <si>
    <t>Verify options succeeds with valid input (PUT /api/v1/question-bank/update_question/{id}).</t>
  </si>
  <si>
    <t>1. Log in as Recruiter of tenant A.
2. Send PUT /api/v1/question-bank/update_question/{id} with header X-Tenant-ID = tenant A and a valid request body.
3. Check the response and the data shown in the system.</t>
  </si>
  <si>
    <t>ASSESS-01-TC46</t>
  </si>
  <si>
    <t>Verify options rejects invalid input (PUT /api/v1/question-bank/update_question/{id}).</t>
  </si>
  <si>
    <t>1. Log in as Recruiter of tenant A.
2. Send PUT /api/v1/question-bank/update_question/{id} with header X-Tenant-ID = tenant A with missing required fields or invalid values (empty text, wrong format, out-of-range numbers, non-existing IDs).
3. Check the response and the data in the system.</t>
  </si>
  <si>
    <t>Atomically (PUT /api/v1/question-bank/archive_questions)</t>
  </si>
  <si>
    <t>ASSESS-01-TC47</t>
  </si>
  <si>
    <t>Verify atomically succeeds with valid input (PUT /api/v1/question-bank/archive_questions).</t>
  </si>
  <si>
    <t>1. Log in as Recruiter of tenant A.
2. Send PUT /api/v1/question-bank/archive_questions with header X-Tenant-ID = tenant A and a valid request body.
3. Check the response and the data shown in the system.</t>
  </si>
  <si>
    <t>ASSESS-01-TC48</t>
  </si>
  <si>
    <t>Verify atomically rejects invalid input (PUT /api/v1/question-bank/archive_questions).</t>
  </si>
  <si>
    <t>1. Log in as Recruiter of tenant A.
2. Send PUT /api/v1/question-bank/archive_questions with header X-Tenant-ID = tenant A with missing required fields or invalid values (empty text, wrong format, out-of-range numbers, non-existing IDs).
3. Check the response and the data in the system.</t>
  </si>
  <si>
    <t>Structure (GET /api/v1/assessments/jobs/{id}/configuration)</t>
  </si>
  <si>
    <t>ASSESS-01-TC49</t>
  </si>
  <si>
    <t>Verify structure succeeds with valid input (GET /api/v1/assessments/jobs/{id}/configuration).</t>
  </si>
  <si>
    <t>1. Log in as Recruiter of tenant A.
2. Send GET /api/v1/assessments/jobs/{id}/configuration with header X-Tenant-ID = tenant A.
3. Check the response and the data shown in the system.</t>
  </si>
  <si>
    <t>Save (PUT /api/v1/assessments/jobs/{id}/configuration)</t>
  </si>
  <si>
    <t>ASSESS-01-TC50</t>
  </si>
  <si>
    <t>Verify save succeeds with valid input (PUT /api/v1/assessments/jobs/{id}/configuration).</t>
  </si>
  <si>
    <t>1. Log in as Recruiter of tenant A.
2. Send PUT /api/v1/assessments/jobs/{id}/configuration with header X-Tenant-ID = tenant A and a valid request body.
3. Check the response and the data shown in the system.</t>
  </si>
  <si>
    <t>ASSESS-01-TC51</t>
  </si>
  <si>
    <t>Verify save rejects invalid input (PUT /api/v1/assessments/jobs/{id}/configuration).</t>
  </si>
  <si>
    <t>1. Log in as Recruiter of tenant A.
2. Send PUT /api/v1/assessments/jobs/{id}/configuration with header X-Tenant-ID = tenant A with missing required fields or invalid values (empty text, wrong format, out-of-range numbers, non-existing IDs).
3. Check the response and the data in the system.</t>
  </si>
  <si>
    <t>Generate (POST /api/v1/assessments/jobs/{id}/generate)</t>
  </si>
  <si>
    <t>ASSESS-01-TC52</t>
  </si>
  <si>
    <t>Verify generate succeeds with valid input (POST /api/v1/assessments/jobs/{id}/generate).</t>
  </si>
  <si>
    <t>1. Log in as Recruiter of tenant A.
2. Send POST /api/v1/assessments/jobs/{id}/generate with header X-Tenant-ID = tenant A and a valid request body.
3. Check the response and the data shown in the system.</t>
  </si>
  <si>
    <t>ASSESS-01-TC53</t>
  </si>
  <si>
    <t>Verify generate rejects invalid input (POST /api/v1/assessments/jobs/{id}/generate).</t>
  </si>
  <si>
    <t>1. Log in as Recruiter of tenant A.
2. Send POST /api/v1/assessments/jobs/{id}/generate with header X-Tenant-ID = tenant A with missing required fields or invalid values (empty text, wrong format, out-of-range numbers, non-existing IDs).
3. Check the response and the data in the system.</t>
  </si>
  <si>
    <t>Status (GET /api/v1/assessments/jobs/{id}/automation_status)</t>
  </si>
  <si>
    <t>ASSESS-01-TC54</t>
  </si>
  <si>
    <t>Verify status succeeds with valid input (GET /api/v1/assessments/jobs/{id}/automation_status).</t>
  </si>
  <si>
    <t>1. Log in as Recruiter of tenant A.
2. Send GET /api/v1/assessments/jobs/{id}/automation_status with header X-Tenant-ID = tenant A.
3. Check the response and the data shown in the system.</t>
  </si>
  <si>
    <t>ASSESS-01-TC55</t>
  </si>
  <si>
    <t>Verify protected APIs of this feature reject unauthenticated and unauthorized users.</t>
  </si>
  <si>
    <t>1. Send POST /api/v1/assessments/create_draft_test without an Authorization header.
2. Send the same request with a valid token of a role that is not allowed (e.g. Candidate calling a staff API).</t>
  </si>
  <si>
    <t>Step 1: HTTP 401, code UNAUTHORIZED.
Step 2: HTTP 403, code FORBIDDEN. No data is returned or changed.</t>
  </si>
  <si>
    <t>Accounts of an allowed role and a not-allowed role exist in tenant A.</t>
  </si>
  <si>
    <t>ASSESS-01-TC56</t>
  </si>
  <si>
    <t>Verify tenant data isolation: a tenant B user cannot read or change tenant A data.</t>
  </si>
  <si>
    <t>1. Log in as Recruiter of tenant B.
2. Send GET /api/v1/assessments/get_test_metadata/{id} using a resource ID that belongs to tenant A, with header X-Tenant-ID = tenant A.
3. Open the related list screen of tenant B.</t>
  </si>
  <si>
    <t>Step 2: the tenant in the JWT (tenant B) is used, so the request returns HTTP 404 (or an empty result); no tenant A data is returned or changed.
Step 3: only tenant B records are listed.</t>
  </si>
  <si>
    <t>Tenant A and tenant B are ACTIVE and both have data for this feature.</t>
  </si>
  <si>
    <t>POST /api/v1/attempts/{id}/coding-submissions (POST /api/v1/attempts/{id}/coding-submissions)</t>
  </si>
  <si>
    <t>ASSESS-02-TC03</t>
  </si>
  <si>
    <t>Verify post /api/v1/attempts/{id}/coding-submissions succeeds with valid input (POST /api/v1/attempts/{id}/coding-submissions).</t>
  </si>
  <si>
    <t>1. Log in as Recruiter of tenant A.
2. Send POST /api/v1/attempts/{id}/coding-submissions with header X-Tenant-ID = tenant A and a valid request body.
3. Check the response and the data shown in the system.</t>
  </si>
  <si>
    <t>Not tested: API not implemented yet.</t>
  </si>
  <si>
    <t>ASSESS-02-TC04</t>
  </si>
  <si>
    <t>Verify post /api/v1/attempts/{id}/coding-submissions rejects invalid input (POST /api/v1/attempts/{id}/coding-submissions).</t>
  </si>
  <si>
    <t>1. Log in as Recruiter of tenant A.
2. Send POST /api/v1/attempts/{id}/coding-submissions with header X-Tenant-ID = tenant A with missing required fields or invalid values (empty text, wrong format, out-of-range numbers, non-existing IDs).
3. Check the response and the data in the system.</t>
  </si>
  <si>
    <t>GET /api/v1/coding-submissions/{id} (GET /api/v1/coding-submissions/{id})</t>
  </si>
  <si>
    <t>ASSESS-02-TC05</t>
  </si>
  <si>
    <t>Verify get /api/v1/coding-submissions/{id} succeeds with valid input (GET /api/v1/coding-submissions/{id}).</t>
  </si>
  <si>
    <t>1. Log in as Recruiter of tenant A.
2. Send GET /api/v1/coding-submissions/{id} with header X-Tenant-ID = tenant A.
3. Check the response and the data shown in the system.</t>
  </si>
  <si>
    <t>ASSESS-02-TC06</t>
  </si>
  <si>
    <t>1. Send POST /api/v1/attempts/{id}/coding-submissions without an Authorization header.
2. Send the same request with a valid token of a role that is not allowed (e.g. Candidate calling a staff API).</t>
  </si>
  <si>
    <t>ASSESS-02-TC07</t>
  </si>
  <si>
    <t>1. Log in as Recruiter of tenant B.
2. Send POST /api/v1/attempts/{id}/coding-submissions using a resource ID that belongs to tenant A, with header X-Tenant-ID = tenant A.
3. Open the related list screen of tenant B.</t>
  </si>
  <si>
    <t>ASSESS-04-TC03</t>
  </si>
  <si>
    <t>1. Log in as Candidate of tenant A.
2. Send GET /api/v1/submissions/{id}/get_submission with header X-Tenant-ID = tenant A.
3. Check the response and the data shown in the system.</t>
  </si>
  <si>
    <t>Tenant A is ACTIVE. The Candidate account has permission for this action. The target resource exists.</t>
  </si>
  <si>
    <t>Verified by automated tests: AssessmentFlowTest, SubmissionServiceStaffListTest</t>
  </si>
  <si>
    <t>ASSESS-04-TC04</t>
  </si>
  <si>
    <t>1. Log in as Candidate of tenant A.
2. Send POST /api/v1/submissions/{id}/submit_test with header X-Tenant-ID = tenant A and a valid request body.
3. Check the response and the data shown in the system.</t>
  </si>
  <si>
    <t>ASSESS-04-TC05</t>
  </si>
  <si>
    <t>1. Log in as Candidate of tenant A.
2. Send POST /api/v1/submissions/{id}/submit_test with header X-Tenant-ID = tenant A with missing required fields or invalid values (empty text, wrong format, out-of-range numbers, non-existing IDs).
3. Check the response and the data in the system.</t>
  </si>
  <si>
    <t>ASSESS-04-TC06</t>
  </si>
  <si>
    <t>1. Send GET /api/v1/submissions/{id}/get_submission without an Authorization header.
2. Send the same request with a valid token of a role that is not allowed (e.g. Candidate calling a staff API).</t>
  </si>
  <si>
    <t>ASSESS-04-TC07</t>
  </si>
  <si>
    <t>1. Log in as Candidate of tenant B.
2. Send GET /api/v1/submissions/{id}/get_submission using a resource ID that belongs to tenant A, with header X-Tenant-ID = tenant A.
3. Open the related list screen of tenant B.</t>
  </si>
  <si>
    <t>POST /api/v1/attempts/{id}/proctor-events (POST /api/v1/attempts/{id}/proctor-events)</t>
  </si>
  <si>
    <t>ASSESS-05-TC03</t>
  </si>
  <si>
    <t>Verify post /api/v1/attempts/{id}/proctor-events succeeds with valid input (POST /api/v1/attempts/{id}/proctor-events).</t>
  </si>
  <si>
    <t>1. Log in as Recruiter of tenant A.
2. Send POST /api/v1/attempts/{id}/proctor-events with header X-Tenant-ID = tenant A and a valid request body.
3. Check the response and the data shown in the system.</t>
  </si>
  <si>
    <t>ASSESS-05-TC04</t>
  </si>
  <si>
    <t>Verify post /api/v1/attempts/{id}/proctor-events rejects invalid input (POST /api/v1/attempts/{id}/proctor-events).</t>
  </si>
  <si>
    <t>1. Log in as Recruiter of tenant A.
2. Send POST /api/v1/attempts/{id}/proctor-events with header X-Tenant-ID = tenant A with missing required fields or invalid values (empty text, wrong format, out-of-range numbers, non-existing IDs).
3. Check the response and the data in the system.</t>
  </si>
  <si>
    <t>GET /api/v1/attempts/{id}/proctor-report (GET /api/v1/attempts/{id}/proctor-report)</t>
  </si>
  <si>
    <t>ASSESS-05-TC05</t>
  </si>
  <si>
    <t>Verify get /api/v1/attempts/{id}/proctor-report succeeds with valid input (GET /api/v1/attempts/{id}/proctor-report).</t>
  </si>
  <si>
    <t>1. Log in as Recruiter of tenant A.
2. Send GET /api/v1/attempts/{id}/proctor-report with header X-Tenant-ID = tenant A.
3. Check the response and the data shown in the system.</t>
  </si>
  <si>
    <t>Interview (POST /api/v1/ai-interviews/{id}/proctor-events)</t>
  </si>
  <si>
    <t>ASSESS-05-TC06</t>
  </si>
  <si>
    <t>Verify interview succeeds with valid input (POST /api/v1/ai-interviews/{id}/proctor-events).</t>
  </si>
  <si>
    <t>1. Log in as Recruiter of tenant A.
2. Send POST /api/v1/ai-interviews/{id}/proctor-events with header X-Tenant-ID = tenant A and a valid request body.
3. Check the response and the data shown in the system.</t>
  </si>
  <si>
    <t>Verified by automated tests: AiInterviewCandidateTest, AiInterviewVoiceServiceTest</t>
  </si>
  <si>
    <t>ASSESS-05-TC07</t>
  </si>
  <si>
    <t>Verify interview rejects invalid input (POST /api/v1/ai-interviews/{id}/proctor-events).</t>
  </si>
  <si>
    <t>1. Log in as Recruiter of tenant A.
2. Send POST /api/v1/ai-interviews/{id}/proctor-events with header X-Tenant-ID = tenant A with missing required fields or invalid values (empty text, wrong format, out-of-range numbers, non-existing IDs).
3. Check the response and the data in the system.</t>
  </si>
  <si>
    <t>ASSESS-05-TC08</t>
  </si>
  <si>
    <t>1. Send POST /api/v1/attempts/{id}/proctor-events without an Authorization header.
2. Send the same request with a valid token of a role that is not allowed (e.g. Candidate calling a staff API).</t>
  </si>
  <si>
    <t>ASSESS-05-TC09</t>
  </si>
  <si>
    <t>1. Log in as Recruiter of tenant B.
2. Send POST /api/v1/attempts/{id}/proctor-events using a resource ID that belongs to tenant A, with header X-Tenant-ID = tenant A.
3. Open the related list screen of tenant B.</t>
  </si>
  <si>
    <t>POST /api/v1/auth/register (POST /api/v1/auth/register)</t>
  </si>
  <si>
    <t>AUTH-01-TC05</t>
  </si>
  <si>
    <t>Verify post /api/v1/auth/register succeeds with valid input (POST /api/v1/auth/register).</t>
  </si>
  <si>
    <t>1. Log in as Recruiter of tenant A.
2. Send POST /api/v1/auth/register with header X-Tenant-ID = tenant A and a valid request body.
3. Check the response and the data shown in the system.</t>
  </si>
  <si>
    <t>AUTH-01-TC06</t>
  </si>
  <si>
    <t>Verify post /api/v1/auth/register rejects invalid input (POST /api/v1/auth/register).</t>
  </si>
  <si>
    <t>1. Log in as Recruiter of tenant A.
2. Send POST /api/v1/auth/register with header X-Tenant-ID = tenant A with missing required fields or invalid values (empty text, wrong format, out-of-range numbers, non-existing IDs).
3. Check the response and the data in the system.</t>
  </si>
  <si>
    <t>AUTH-01-TC07</t>
  </si>
  <si>
    <t>1. Send POST /api/v1/auth/register without an Authorization header.
2. Send the same request with a valid token of a role that is not allowed (e.g. Candidate calling a staff API).</t>
  </si>
  <si>
    <t>AUTH-01-TC08</t>
  </si>
  <si>
    <t>1. Log in as Recruiter of tenant B.
2. Send POST /api/v1/auth/register using a resource ID that belongs to tenant A, with header X-Tenant-ID = tenant A.
3. Open the related list screen of tenant B.</t>
  </si>
  <si>
    <t>Login (POST /api/v1/tenant/auth/login)</t>
  </si>
  <si>
    <t>AUTH-02-TC07</t>
  </si>
  <si>
    <t>Verify login succeeds with valid input (POST /api/v1/tenant/auth/login).</t>
  </si>
  <si>
    <t>1. Do not log in (public endpoint).
2. Send POST /api/v1/tenant/auth/login and a valid request body.
3. Check the response and the data shown in the system.</t>
  </si>
  <si>
    <t>Tenant A is ACTIVE.</t>
  </si>
  <si>
    <t>Verified by automated tests: AccountProfileServiceTest, InviteMailSenderTest, TenantAuthControllerTest ...</t>
  </si>
  <si>
    <t>AUTH-02-TC08</t>
  </si>
  <si>
    <t>Verify login rejects invalid input (POST /api/v1/tenant/auth/login).</t>
  </si>
  <si>
    <t>1. Do not log in (public endpoint).
2. Send POST /api/v1/tenant/auth/login with missing required fields or invalid values (empty text, wrong format, out-of-range numbers, non-existing IDs).
3. Check the response and the data in the system.</t>
  </si>
  <si>
    <t>Refresh (POST /api/v1/tenant/auth/refresh)</t>
  </si>
  <si>
    <t>AUTH-02-TC09</t>
  </si>
  <si>
    <t>Verify refresh succeeds with valid input (POST /api/v1/tenant/auth/refresh).</t>
  </si>
  <si>
    <t>1. Do not log in (public endpoint).
2. Send POST /api/v1/tenant/auth/refresh and a valid request body.
3. Check the response and the data shown in the system.</t>
  </si>
  <si>
    <t>AUTH-02-TC10</t>
  </si>
  <si>
    <t>Verify refresh rejects invalid input (POST /api/v1/tenant/auth/refresh).</t>
  </si>
  <si>
    <t>1. Do not log in (public endpoint).
2. Send POST /api/v1/tenant/auth/refresh with missing required fields or invalid values (empty text, wrong format, out-of-range numbers, non-existing IDs).
3. Check the response and the data in the system.</t>
  </si>
  <si>
    <t>Logout (POST /api/v1/tenant/auth/logout)</t>
  </si>
  <si>
    <t>AUTH-02-TC11</t>
  </si>
  <si>
    <t>Verify logout succeeds with valid input (POST /api/v1/tenant/auth/logout).</t>
  </si>
  <si>
    <t>1. Do not log in (public endpoint).
2. Send POST /api/v1/tenant/auth/logout and a valid request body.
3. Check the response and the data shown in the system.</t>
  </si>
  <si>
    <t>AUTH-02-TC12</t>
  </si>
  <si>
    <t>Verify logout rejects invalid input (POST /api/v1/tenant/auth/logout).</t>
  </si>
  <si>
    <t>1. Do not log in (public endpoint).
2. Send POST /api/v1/tenant/auth/logout with missing required fields or invalid values (empty text, wrong format, out-of-range numbers, non-existing IDs).
3. Check the response and the data in the system.</t>
  </si>
  <si>
    <t>Password (POST /api/v1/tenant/auth/forgot-password)</t>
  </si>
  <si>
    <t>AUTH-02-TC13</t>
  </si>
  <si>
    <t>Verify password succeeds with valid input (POST /api/v1/tenant/auth/forgot-password).</t>
  </si>
  <si>
    <t>1. Do not log in (public endpoint).
2. Send POST /api/v1/tenant/auth/forgot-password and a valid request body.
3. Check the response and the data shown in the system.</t>
  </si>
  <si>
    <t>AUTH-02-TC14</t>
  </si>
  <si>
    <t>Verify password rejects invalid input (POST /api/v1/tenant/auth/forgot-password).</t>
  </si>
  <si>
    <t>1. Do not log in (public endpoint).
2. Send POST /api/v1/tenant/auth/forgot-password with missing required fields or invalid values (empty text, wrong format, out-of-range numbers, non-existing IDs).
3. Check the response and the data in the system.</t>
  </si>
  <si>
    <t>Reset password (POST /api/v1/tenant/auth/reset-password)</t>
  </si>
  <si>
    <t>AUTH-02-TC15</t>
  </si>
  <si>
    <t>Verify reset password succeeds with valid input (POST /api/v1/tenant/auth/reset-password).</t>
  </si>
  <si>
    <t>1. Do not log in (public endpoint).
2. Send POST /api/v1/tenant/auth/reset-password and a valid request body.
3. Check the response and the data shown in the system.</t>
  </si>
  <si>
    <t>AUTH-02-TC16</t>
  </si>
  <si>
    <t>Verify reset password rejects invalid input (POST /api/v1/tenant/auth/reset-password).</t>
  </si>
  <si>
    <t>1. Do not log in (public endpoint).
2. Send POST /api/v1/tenant/auth/reset-password with missing required fields or invalid values (empty text, wrong format, out-of-range numbers, non-existing IDs).
3. Check the response and the data in the system.</t>
  </si>
  <si>
    <t>Change password (POST /api/v1/tenant/auth/change-password)</t>
  </si>
  <si>
    <t>AUTH-02-TC17</t>
  </si>
  <si>
    <t>Verify change password succeeds with valid input (POST /api/v1/tenant/auth/change-password).</t>
  </si>
  <si>
    <t>1. Log in as Admin of tenant A.
2. Send POST /api/v1/tenant/auth/change-password with header X-Tenant-ID = tenant A and a valid request body.
3. Check the response and the data shown in the system.</t>
  </si>
  <si>
    <t>Tenant A is ACTIVE. The Admin account has permission for this action.</t>
  </si>
  <si>
    <t>AUTH-02-TC18</t>
  </si>
  <si>
    <t>Verify change password rejects invalid input (POST /api/v1/tenant/auth/change-password).</t>
  </si>
  <si>
    <t>1. Log in as Admin of tenant A.
2. Send POST /api/v1/tenant/auth/change-password with header X-Tenant-ID = tenant A with missing required fields or invalid values (empty text, wrong format, out-of-range numbers, non-existing IDs).
3. Check the response and the data in the system.</t>
  </si>
  <si>
    <t>Get current user (GET /api/v1/tenant/auth/me)</t>
  </si>
  <si>
    <t>AUTH-02-TC19</t>
  </si>
  <si>
    <t>Verify get current user succeeds with valid input (GET /api/v1/tenant/auth/me).</t>
  </si>
  <si>
    <t>1. Log in as Admin of tenant A.
2. Send GET /api/v1/tenant/auth/me with header X-Tenant-ID = tenant A.
3. Check the response and the data shown in the system.</t>
  </si>
  <si>
    <t>Profile (GET /api/v1/tenant/auth/profile)</t>
  </si>
  <si>
    <t>AUTH-02-TC20</t>
  </si>
  <si>
    <t>Verify profile succeeds with valid input (GET /api/v1/tenant/auth/profile).</t>
  </si>
  <si>
    <t>1. Log in as Admin of tenant A.
2. Send GET /api/v1/tenant/auth/profile with header X-Tenant-ID = tenant A.
3. Check the response and the data shown in the system.</t>
  </si>
  <si>
    <t>Update profile (PUT /api/v1/tenant/auth/profile)</t>
  </si>
  <si>
    <t>AUTH-02-TC21</t>
  </si>
  <si>
    <t>Verify update profile succeeds with valid input (PUT /api/v1/tenant/auth/profile).</t>
  </si>
  <si>
    <t>1. Log in as Admin of tenant A.
2. Send PUT /api/v1/tenant/auth/profile with header X-Tenant-ID = tenant A and a valid request body.
3. Check the response and the data shown in the system.</t>
  </si>
  <si>
    <t>AUTH-02-TC22</t>
  </si>
  <si>
    <t>Verify update profile rejects invalid input (PUT /api/v1/tenant/auth/profile).</t>
  </si>
  <si>
    <t>1. Log in as Admin of tenant A.
2. Send PUT /api/v1/tenant/auth/profile with header X-Tenant-ID = tenant A with missing required fields or invalid values (empty text, wrong format, out-of-range numbers, non-existing IDs).
3. Check the response and the data in the system.</t>
  </si>
  <si>
    <t>AUTH-02-TC23</t>
  </si>
  <si>
    <t>1. Send POST /api/v1/tenant/auth/change-password without an Authorization header.
2. Send the same request with a valid token of a role that is not allowed (e.g. Candidate calling a staff API).</t>
  </si>
  <si>
    <t>AUTH-02-TC24</t>
  </si>
  <si>
    <t>1. Log in as Admin of tenant B.
2. Send POST /api/v1/tenant/auth/change-password using a resource ID that belongs to tenant A, with header X-Tenant-ID = tenant A.
3. Open the related list screen of tenant B.</t>
  </si>
  <si>
    <t>Login with google (POST /api/v1/tenant/auth/google)</t>
  </si>
  <si>
    <t>AUTH-03-TC06</t>
  </si>
  <si>
    <t>Verify login with google succeeds with valid input (POST /api/v1/tenant/auth/google).</t>
  </si>
  <si>
    <t>1. Do not log in (public endpoint).
2. Send POST /api/v1/tenant/auth/google and a valid request body.
3. Check the response and the data shown in the system.</t>
  </si>
  <si>
    <t>Verified by automated tests: CandidateAuthControllerTest, CandidateAuthServiceTest</t>
  </si>
  <si>
    <t>AUTH-03-TC07</t>
  </si>
  <si>
    <t>Verify login with google rejects invalid input (POST /api/v1/tenant/auth/google).</t>
  </si>
  <si>
    <t>1. Do not log in (public endpoint).
2. Send POST /api/v1/tenant/auth/google with missing required fields or invalid values (empty text, wrong format, out-of-range numbers, non-existing IDs).
3. Check the response and the data in the system.</t>
  </si>
  <si>
    <t>AUTH-03-TC08</t>
  </si>
  <si>
    <t>1. Send  without an Authorization header.
2. Send the same request with a valid token of a role that is not allowed (e.g. Candidate calling a staff API).</t>
  </si>
  <si>
    <t>AUTH-03-TC09</t>
  </si>
  <si>
    <t>1. Log in as Recruiter of tenant B.
2. Send  using a resource ID that belongs to tenant A, with header X-Tenant-ID = tenant A.
3. Open the related list screen of tenant B.</t>
  </si>
  <si>
    <t>List (GET /api/v1/tenant/roles)</t>
  </si>
  <si>
    <t>AUTH-04-TC12</t>
  </si>
  <si>
    <t>Verify list succeeds with valid input (GET /api/v1/tenant/roles).</t>
  </si>
  <si>
    <t>1. Log in as Admin of tenant A.
2. Send GET /api/v1/tenant/roles with header X-Tenant-ID = tenant A.
3. Check the response and the data shown in the system.</t>
  </si>
  <si>
    <t>Verified by automated tests: AccountProfileServiceTest, JobAssignmentServiceTest, MemberInvitationServiceTest ...</t>
  </si>
  <si>
    <t>Create (POST /api/v1/tenant/roles)</t>
  </si>
  <si>
    <t>AUTH-04-TC13</t>
  </si>
  <si>
    <t>Verify create succeeds with valid input (POST /api/v1/tenant/roles).</t>
  </si>
  <si>
    <t>1. Log in as Admin of tenant A.
2. Send POST /api/v1/tenant/roles with header X-Tenant-ID = tenant A and a valid request body.
3. Check the response and the data shown in the system.</t>
  </si>
  <si>
    <t>AUTH-04-TC14</t>
  </si>
  <si>
    <t>Verify create rejects invalid input (POST /api/v1/tenant/roles).</t>
  </si>
  <si>
    <t>1. Log in as Admin of tenant A.
2. Send POST /api/v1/tenant/roles with header X-Tenant-ID = tenant A with missing required fields or invalid values (empty text, wrong format, out-of-range numbers, non-existing IDs).
3. Check the response and the data in the system.</t>
  </si>
  <si>
    <t>Name (PUT /api/v1/tenant/roles/{id})</t>
  </si>
  <si>
    <t>AUTH-04-TC15</t>
  </si>
  <si>
    <t>Verify name succeeds with valid input (PUT /api/v1/tenant/roles/{id}).</t>
  </si>
  <si>
    <t>1. Log in as Admin of tenant A.
2. Send PUT /api/v1/tenant/roles/{id} with header X-Tenant-ID = tenant A and a valid request body.
3. Check the response and the data shown in the system.</t>
  </si>
  <si>
    <t>Tenant A is ACTIVE. The Admin account has permission for this action. The target resource exists.</t>
  </si>
  <si>
    <t>AUTH-04-TC16</t>
  </si>
  <si>
    <t>Verify name rejects invalid input (PUT /api/v1/tenant/roles/{id}).</t>
  </si>
  <si>
    <t>1. Log in as Admin of tenant A.
2. Send PUT /api/v1/tenant/roles/{id} with header X-Tenant-ID = tenant A with missing required fields or invalid values (empty text, wrong format, out-of-range numbers, non-existing IDs).
3. Check the response and the data in the system.</t>
  </si>
  <si>
    <t>Delete (DELETE /api/v1/tenant/roles/{id})</t>
  </si>
  <si>
    <t>AUTH-04-TC17</t>
  </si>
  <si>
    <t>Verify delete succeeds with valid input (DELETE /api/v1/tenant/roles/{id}).</t>
  </si>
  <si>
    <t>1. Log in as Admin of tenant A.
2. Send DELETE /api/v1/tenant/roles/{id} with header X-Tenant-ID = tenant A.
3. Check the response and the data shown in the system.</t>
  </si>
  <si>
    <t>AUTH-04-TC18</t>
  </si>
  <si>
    <t>Verify delete rejects invalid input (DELETE /api/v1/tenant/roles/{id}).</t>
  </si>
  <si>
    <t>1. Log in as Admin of tenant A.
2. Send DELETE /api/v1/tenant/roles/{id} with header X-Tenant-ID = tenant A with missing required fields or invalid values (empty text, wrong format, out-of-range numbers, non-existing IDs).
3. Check the response and the data in the system.</t>
  </si>
  <si>
    <t>Get matrix (GET /api/v1/tenant/role-permissions)</t>
  </si>
  <si>
    <t>AUTH-04-TC19</t>
  </si>
  <si>
    <t>Verify get matrix succeeds with valid input (GET /api/v1/tenant/role-permissions).</t>
  </si>
  <si>
    <t>1. Log in as Admin of tenant A.
2. Send GET /api/v1/tenant/role-permissions with header X-Tenant-ID = tenant A.
3. Check the response and the data shown in the system.</t>
  </si>
  <si>
    <t>Replace (PUT /api/v1/tenant/role-permissions)</t>
  </si>
  <si>
    <t>AUTH-04-TC20</t>
  </si>
  <si>
    <t>Verify replace succeeds with valid input (PUT /api/v1/tenant/role-permissions).</t>
  </si>
  <si>
    <t>1. Log in as Admin of tenant A.
2. Send PUT /api/v1/tenant/role-permissions with header X-Tenant-ID = tenant A and a valid request body.
3. Check the response and the data shown in the system.</t>
  </si>
  <si>
    <t>AUTH-04-TC21</t>
  </si>
  <si>
    <t>Verify replace rejects invalid input (PUT /api/v1/tenant/role-permissions).</t>
  </si>
  <si>
    <t>1. Log in as Admin of tenant A.
2. Send PUT /api/v1/tenant/role-permissions with header X-Tenant-ID = tenant A with missing required fields or invalid values (empty text, wrong format, out-of-range numbers, non-existing IDs).
3. Check the response and the data in the system.</t>
  </si>
  <si>
    <t>Assign role (PUT /api/v1/tenant/users/{id}/role)</t>
  </si>
  <si>
    <t>AUTH-04-TC22</t>
  </si>
  <si>
    <t>Verify assign role succeeds with valid input (PUT /api/v1/tenant/users/{id}/role).</t>
  </si>
  <si>
    <t>1. Log in as Admin of tenant A.
2. Send PUT /api/v1/tenant/users/{id}/role with header X-Tenant-ID = tenant A and a valid request body.
3. Check the response and the data shown in the system.</t>
  </si>
  <si>
    <t>AUTH-04-TC23</t>
  </si>
  <si>
    <t>Verify assign role rejects invalid input (PUT /api/v1/tenant/users/{id}/role).</t>
  </si>
  <si>
    <t>1. Log in as Admin of tenant A.
2. Send PUT /api/v1/tenant/users/{id}/role with header X-Tenant-ID = tenant A with missing required fields or invalid values (empty text, wrong format, out-of-range numbers, non-existing IDs).
3. Check the response and the data in the system.</t>
  </si>
  <si>
    <t>AUTH-04-TC24</t>
  </si>
  <si>
    <t>AUTH-04-TC25</t>
  </si>
  <si>
    <t>AUTH-04-TC26</t>
  </si>
  <si>
    <t>AUTH-04-TC27</t>
  </si>
  <si>
    <t>1. Send GET /api/v1/tenant/roles without an Authorization header.
2. Send the same request with a valid token of a role that is not allowed (e.g. Candidate calling a staff API).</t>
  </si>
  <si>
    <t>AUTH-04-TC28</t>
  </si>
  <si>
    <t>1. Log in as Admin of tenant B.
2. Send PUT /api/v1/tenant/roles/{id} using a resource ID that belongs to tenant A, with header X-Tenant-ID = tenant A.
3. Open the related list screen of tenant B.</t>
  </si>
  <si>
    <t>GET /api/v1/users/me (GET /api/v1/users/me)</t>
  </si>
  <si>
    <t>AUTH-05-TC04</t>
  </si>
  <si>
    <t>Verify get /api/v1/users/me succeeds with valid input (GET /api/v1/users/me).</t>
  </si>
  <si>
    <t>1. Log in as Admin of tenant A.
2. Send GET /api/v1/users/me with header X-Tenant-ID = tenant A.
3. Check the response and the data shown in the system.</t>
  </si>
  <si>
    <t>PUT /api/v1/users/me (PUT /api/v1/users/me)</t>
  </si>
  <si>
    <t>AUTH-05-TC05</t>
  </si>
  <si>
    <t>Verify put /api/v1/users/me succeeds with valid input (PUT /api/v1/users/me).</t>
  </si>
  <si>
    <t>1. Log in as Admin of tenant A.
2. Send PUT /api/v1/users/me with header X-Tenant-ID = tenant A and a valid request body.
3. Check the response and the data shown in the system.</t>
  </si>
  <si>
    <t>AUTH-05-TC06</t>
  </si>
  <si>
    <t>Verify put /api/v1/users/me rejects invalid input (PUT /api/v1/users/me).</t>
  </si>
  <si>
    <t>1. Log in as Admin of tenant A.
2. Send PUT /api/v1/users/me with header X-Tenant-ID = tenant A with missing required fields or invalid values (empty text, wrong format, out-of-range numbers, non-existing IDs).
3. Check the response and the data in the system.</t>
  </si>
  <si>
    <t>POST /api/v1/users/me/avatar (POST /api/v1/users/me/avatar)</t>
  </si>
  <si>
    <t>AUTH-05-TC07</t>
  </si>
  <si>
    <t>Verify post /api/v1/users/me/avatar succeeds with valid input (POST /api/v1/users/me/avatar).</t>
  </si>
  <si>
    <t>1. Log in as Admin of tenant A.
2. Send POST /api/v1/users/me/avatar with header X-Tenant-ID = tenant A and a valid request body.
3. Check the response and the data shown in the system.</t>
  </si>
  <si>
    <t>AUTH-05-TC08</t>
  </si>
  <si>
    <t>Verify post /api/v1/users/me/avatar rejects invalid input (POST /api/v1/users/me/avatar).</t>
  </si>
  <si>
    <t>1. Log in as Admin of tenant A.
2. Send POST /api/v1/users/me/avatar with header X-Tenant-ID = tenant A with missing required fields or invalid values (empty text, wrong format, out-of-range numbers, non-existing IDs).
3. Check the response and the data in the system.</t>
  </si>
  <si>
    <t>AUTH-05-TC09</t>
  </si>
  <si>
    <t>1. Send GET /api/v1/users/me without an Authorization header.
2. Send the same request with a valid token of a role that is not allowed (e.g. Candidate calling a staff API).</t>
  </si>
  <si>
    <t>AUTH-05-TC10</t>
  </si>
  <si>
    <t>1. Log in as Admin of tenant B.
2. Send GET /api/v1/users/me using a resource ID that belongs to tenant A, with header X-Tenant-ID = tenant A.
3. Open the related list screen of tenant B.</t>
  </si>
  <si>
    <t>Tenant (GET /api/v1/tenant/company/profile)</t>
  </si>
  <si>
    <t>COMPANY-01-TC08</t>
  </si>
  <si>
    <t>Verify tenant succeeds with valid input (GET /api/v1/tenant/company/profile).</t>
  </si>
  <si>
    <t>1. Log in as Tenant Admin of tenant A.
2. Send GET /api/v1/tenant/company/profile with header X-Tenant-ID = tenant A.
3. Check the response and the data shown in the system.</t>
  </si>
  <si>
    <t>Tenant A is ACTIVE. The Tenant Admin account has permission for this action.</t>
  </si>
  <si>
    <t>Lê Công Cường</t>
  </si>
  <si>
    <t>Verified by automated tests: CompanyDirectoryServiceTest, CompanyProfileControllerTest, CompanyProfileServiceTest</t>
  </si>
  <si>
    <t>Update profile (PUT /api/v1/tenant/company/profile)</t>
  </si>
  <si>
    <t>COMPANY-01-TC09</t>
  </si>
  <si>
    <t>Verify update profile succeeds with valid input (PUT /api/v1/tenant/company/profile).</t>
  </si>
  <si>
    <t>1. Log in as Tenant Admin of tenant A.
2. Send PUT /api/v1/tenant/company/profile with header X-Tenant-ID = tenant A and a valid request body.
3. Check the response and the data shown in the system.</t>
  </si>
  <si>
    <t>COMPANY-01-TC10</t>
  </si>
  <si>
    <t>Verify update profile rejects invalid input (PUT /api/v1/tenant/company/profile).</t>
  </si>
  <si>
    <t>1. Log in as Tenant Admin of tenant A.
2. Send PUT /api/v1/tenant/company/profile with header X-Tenant-ID = tenant A with missing required fields or invalid values (empty text, wrong format, out-of-range numbers, non-existing IDs).
3. Check the response and the data in the system.</t>
  </si>
  <si>
    <t>Get directory (GET /api/v1/tenant/company/directory)</t>
  </si>
  <si>
    <t>COMPANY-01-TC11</t>
  </si>
  <si>
    <t>Verify get directory succeeds with valid input (GET /api/v1/tenant/company/directory).</t>
  </si>
  <si>
    <t>1. Log in as Tenant Admin of tenant A.
2. Send GET /api/v1/tenant/company/directory with header X-Tenant-ID = tenant A.
3. Check the response and the data shown in the system.</t>
  </si>
  <si>
    <t>Update directory (PUT /api/v1/tenant/company/directory)</t>
  </si>
  <si>
    <t>COMPANY-01-TC12</t>
  </si>
  <si>
    <t>Verify update directory succeeds with valid input (PUT /api/v1/tenant/company/directory).</t>
  </si>
  <si>
    <t>1. Log in as Tenant Admin of tenant A.
2. Send PUT /api/v1/tenant/company/directory with header X-Tenant-ID = tenant A and a valid request body.
3. Check the response and the data shown in the system.</t>
  </si>
  <si>
    <t>COMPANY-01-TC13</t>
  </si>
  <si>
    <t>Verify update directory rejects invalid input (PUT /api/v1/tenant/company/directory).</t>
  </si>
  <si>
    <t>1. Log in as Tenant Admin of tenant A.
2. Send PUT /api/v1/tenant/company/directory with header X-Tenant-ID = tenant A with missing required fields or invalid values (empty text, wrong format, out-of-range numbers, non-existing IDs).
3. Check the response and the data in the system.</t>
  </si>
  <si>
    <t>COMPANY-01-TC14</t>
  </si>
  <si>
    <t>1. Send GET /api/v1/tenant/company/profile without an Authorization header.
2. Send the same request with a valid token of a role that is not allowed (e.g. Candidate calling a staff API).</t>
  </si>
  <si>
    <t>COMPANY-01-TC15</t>
  </si>
  <si>
    <t>1. Log in as Tenant Admin of tenant B.
2. Send GET /api/v1/tenant/company/profile using a resource ID that belongs to tenant A, with header X-Tenant-ID = tenant A.
3. Open the related list screen of tenant B.</t>
  </si>
  <si>
    <t>Get employees (GET /api/v1/tenant/users)</t>
  </si>
  <si>
    <t>COMPANY-02-TC06</t>
  </si>
  <si>
    <t>Verify get employees succeeds with valid input (GET /api/v1/tenant/users).</t>
  </si>
  <si>
    <t>1. Log in as Admin of tenant A.
2. Send GET /api/v1/tenant/users with header X-Tenant-ID = tenant A.
3. Check the response and the data shown in the system.</t>
  </si>
  <si>
    <t>Verified by automated tests: JobAssignmentServiceTest, MemberInvitationServiceTest, TenantUserInvitationControllerTest ...</t>
  </si>
  <si>
    <t>Assignments (GET /api/v1/tenant/users/{id}/assignments)</t>
  </si>
  <si>
    <t>COMPANY-02-TC07</t>
  </si>
  <si>
    <t>Verify assignments succeeds with valid input (GET /api/v1/tenant/users/{id}/assignments).</t>
  </si>
  <si>
    <t>1. Log in as Admin of tenant A.
2. Send GET /api/v1/tenant/users/{id}/assignments with header X-Tenant-ID = tenant A.
3. Check the response and the data shown in the system.</t>
  </si>
  <si>
    <t>COMPANY-02-TC08</t>
  </si>
  <si>
    <t>COMPANY-02-TC09</t>
  </si>
  <si>
    <t>Accept invitation (POST /api/v1/tenant/users/invitations/accept)</t>
  </si>
  <si>
    <t>COMPANY-02-TC10</t>
  </si>
  <si>
    <t>Verify accept invitation succeeds with valid input (POST /api/v1/tenant/users/invitations/accept).</t>
  </si>
  <si>
    <t>1. Do not log in (public endpoint).
2. Send POST /api/v1/tenant/users/invitations/accept and a valid request body.
3. Check the response and the data shown in the system.</t>
  </si>
  <si>
    <t>COMPANY-02-TC11</t>
  </si>
  <si>
    <t>Verify accept invitation rejects invalid input (POST /api/v1/tenant/users/invitations/accept).</t>
  </si>
  <si>
    <t>1. Do not log in (public endpoint).
2. Send POST /api/v1/tenant/users/invitations/accept with missing required fields or invalid values (empty text, wrong format, out-of-range numbers, non-existing IDs).
3. Check the response and the data in the system.</t>
  </si>
  <si>
    <t>Invite member (POST /api/v1/tenant/users/invitations)</t>
  </si>
  <si>
    <t>COMPANY-02-TC12</t>
  </si>
  <si>
    <t>Verify invite member succeeds with valid input (POST /api/v1/tenant/users/invitations).</t>
  </si>
  <si>
    <t>1. Log in as Admin of tenant A.
2. Send POST /api/v1/tenant/users/invitations with header X-Tenant-ID = tenant A and a valid request body.
3. Check the response and the data shown in the system.</t>
  </si>
  <si>
    <t>COMPANY-02-TC13</t>
  </si>
  <si>
    <t>Verify invite member rejects invalid input (POST /api/v1/tenant/users/invitations).</t>
  </si>
  <si>
    <t>1. Log in as Admin of tenant A.
2. Send POST /api/v1/tenant/users/invitations with header X-Tenant-ID = tenant A with missing required fields or invalid values (empty text, wrong format, out-of-range numbers, non-existing IDs).
3. Check the response and the data in the system.</t>
  </si>
  <si>
    <t>COMPANY-02-TC14</t>
  </si>
  <si>
    <t>1. Send GET /api/v1/tenant/users without an Authorization header.
2. Send the same request with a valid token of a role that is not allowed (e.g. Candidate calling a staff API).</t>
  </si>
  <si>
    <t>COMPANY-02-TC15</t>
  </si>
  <si>
    <t>1. Log in as Admin of tenant B.
2. Send GET /api/v1/tenant/users/{id}/assignments using a resource ID that belongs to tenant A, with header X-Tenant-ID = tenant A.
3. Open the related list screen of tenant B.</t>
  </si>
  <si>
    <t>Get landing page (GET /api/v1/tenant/landing-page)</t>
  </si>
  <si>
    <t>COMPANY-02-Tenant-Landing-Page-TC06</t>
  </si>
  <si>
    <t>Verify get landing page succeeds with valid input (GET /api/v1/tenant/landing-page).</t>
  </si>
  <si>
    <t>1. Log in as Tenant Admin of tenant A.
2. Send GET /api/v1/tenant/landing-page with header X-Tenant-ID = tenant A.
3. Check the response and the data shown in the system.</t>
  </si>
  <si>
    <t>04/10/2026</t>
  </si>
  <si>
    <t>Verified by automated tests: JobExpiryRabbitMQIntegrationTest, JobServiceTest</t>
  </si>
  <si>
    <t>Update landing page (PUT /api/v1/tenant/landing-page)</t>
  </si>
  <si>
    <t>COMPANY-02-Tenant-Landing-Page-TC07</t>
  </si>
  <si>
    <t>Verify update landing page succeeds with valid input (PUT /api/v1/tenant/landing-page).</t>
  </si>
  <si>
    <t>1. Log in as Tenant Admin of tenant A.
2. Send PUT /api/v1/tenant/landing-page with header X-Tenant-ID = tenant A and a valid request body.
3. Check the response and the data shown in the system.</t>
  </si>
  <si>
    <t>COMPANY-02-Tenant-Landing-Page-TC08</t>
  </si>
  <si>
    <t>Verify update landing page rejects invalid input (PUT /api/v1/tenant/landing-page).</t>
  </si>
  <si>
    <t>1. Log in as Tenant Admin of tenant A.
2. Send PUT /api/v1/tenant/landing-page with header X-Tenant-ID = tenant A with missing required fields or invalid values (empty text, wrong format, out-of-range numbers, non-existing IDs).
3. Check the response and the data in the system.</t>
  </si>
  <si>
    <t>Get public landing (GET /api/v1/public/landing)</t>
  </si>
  <si>
    <t>COMPANY-02-Tenant-Landing-Page-TC09</t>
  </si>
  <si>
    <t>Verify get public landing succeeds with valid input (GET /api/v1/public/landing).</t>
  </si>
  <si>
    <t>1. Do not log in (public endpoint).
2. Send GET /api/v1/public/landing.
3. Check the response and the data shown in the system.</t>
  </si>
  <si>
    <t>Get (GET /api/v1/public/jobs/{id})</t>
  </si>
  <si>
    <t>COMPANY-02-Tenant-Landing-Page-TC10</t>
  </si>
  <si>
    <t>Verify get succeeds with valid input (GET /api/v1/public/jobs/{id}).</t>
  </si>
  <si>
    <t>1. Do not log in (public endpoint).
2. Send GET /api/v1/public/jobs/{id}.
3. Check the response and the data shown in the system.</t>
  </si>
  <si>
    <t>Tenant A is ACTIVE. The target resource exists.</t>
  </si>
  <si>
    <t>COMPANY-02-Tenant-Landing-Page-TC11</t>
  </si>
  <si>
    <t>1. Send GET /api/v1/tenant/landing-page without an Authorization header.
2. Send the same request with a valid token of a role that is not allowed (e.g. Candidate calling a staff API).</t>
  </si>
  <si>
    <t>COMPANY-02-Tenant-Landing-Page-TC12</t>
  </si>
  <si>
    <t>1. Log in as Tenant Admin of tenant B.
2. Send GET /api/v1/tenant/landing-page using a resource ID that belongs to tenant A, with header X-Tenant-ID = tenant A.
3. Open the related list screen of tenant B.</t>
  </si>
  <si>
    <t>Cv (DELETE /api/v1/cvs/{id})</t>
  </si>
  <si>
    <t>CV-01-TC06</t>
  </si>
  <si>
    <t>Verify cv succeeds with valid input (DELETE /api/v1/cvs/{id}).</t>
  </si>
  <si>
    <t>1. Log in as Recruiter of tenant A.
2. Send DELETE /api/v1/cvs/{id} with header X-Tenant-ID = tenant A.
3. Check the response and the data shown in the system.</t>
  </si>
  <si>
    <t>Lê Phúc Tiến</t>
  </si>
  <si>
    <t>Verified by automated tests: CvBuilderAssistServiceTest, CvPdfExportServiceTest, CvServiceTest ...</t>
  </si>
  <si>
    <t>CV-01-TC07</t>
  </si>
  <si>
    <t>Verify cv rejects invalid input (DELETE /api/v1/cvs/{id}).</t>
  </si>
  <si>
    <t>1. Log in as Recruiter of tenant A.
2. Send DELETE /api/v1/cvs/{id} with header X-Tenant-ID = tenant A with missing required fields or invalid values (empty text, wrong format, out-of-range numbers, non-existing IDs).
3. Check the response and the data in the system.</t>
  </si>
  <si>
    <t>Published (GET /api/v1/jobs/published)</t>
  </si>
  <si>
    <t>CV-01-TC08</t>
  </si>
  <si>
    <t>Verify published succeeds with valid input (GET /api/v1/jobs/published).</t>
  </si>
  <si>
    <t>1. Log in as Recruiter of tenant A.
2. Send GET /api/v1/jobs/published with header X-Tenant-ID = tenant A.
3. Check the response and the data shown in the system.</t>
  </si>
  <si>
    <t>Options (GET /api/v1/jobs/options)</t>
  </si>
  <si>
    <t>CV-01-TC09</t>
  </si>
  <si>
    <t>Verify options succeeds with valid input (GET /api/v1/jobs/options).</t>
  </si>
  <si>
    <t>1. Log in as Recruiter of tenant A.
2. Send GET /api/v1/jobs/options with header X-Tenant-ID = tenant A.
3. Check the response and the data shown in the system.</t>
  </si>
  <si>
    <t>Upload (POST /api/v1/cvs)</t>
  </si>
  <si>
    <t>CV-01-TC10</t>
  </si>
  <si>
    <t>Verify upload succeeds with valid input (POST /api/v1/cvs).</t>
  </si>
  <si>
    <t>1. Log in as Recruiter of tenant A.
2. Send POST /api/v1/cvs with header X-Tenant-ID = tenant A and a valid request body.
3. Check the response and the data shown in the system.</t>
  </si>
  <si>
    <t>CV-01-TC11</t>
  </si>
  <si>
    <t>Verify upload rejects invalid input (POST /api/v1/cvs).</t>
  </si>
  <si>
    <t>1. Log in as Recruiter of tenant A.
2. Send POST /api/v1/cvs with header X-Tenant-ID = tenant A with missing required fields or invalid values (empty text, wrong format, out-of-range numbers, non-existing IDs).
3. Check the response and the data in the system.</t>
  </si>
  <si>
    <t>File (GET /api/v1/cvs/{id}/file)</t>
  </si>
  <si>
    <t>CV-01-TC12</t>
  </si>
  <si>
    <t>Verify file succeeds with valid input (GET /api/v1/cvs/{id}/file).</t>
  </si>
  <si>
    <t>1. Log in as Recruiter of tenant A.
2. Send GET /api/v1/cvs/{id}/file with header X-Tenant-ID = tenant A.
3. Check the response and the data shown in the system.</t>
  </si>
  <si>
    <t>CV-01-TC13</t>
  </si>
  <si>
    <t>1. Send DELETE /api/v1/cvs/{id} without an Authorization header.
2. Send the same request with a valid token of a role that is not allowed (e.g. Candidate calling a staff API).</t>
  </si>
  <si>
    <t>CV-01-TC14</t>
  </si>
  <si>
    <t>1. Log in as Recruiter of tenant B.
2. Send DELETE /api/v1/cvs/{id} using a resource ID that belongs to tenant A, with header X-Tenant-ID = tenant A.
3. Open the related list screen of tenant B.</t>
  </si>
  <si>
    <t>Cv (POST /api/v1/cvs/{id}/parse)</t>
  </si>
  <si>
    <t>CV-02-TC04</t>
  </si>
  <si>
    <t>Verify cv succeeds with valid input (POST /api/v1/cvs/{id}/parse).</t>
  </si>
  <si>
    <t>1. Log in as Recruiter of tenant A.
2. Send POST /api/v1/cvs/{id}/parse with header X-Tenant-ID = tenant A and a valid request body.
3. Check the response and the data shown in the system.</t>
  </si>
  <si>
    <t>Verified by automated tests: CvBuilderAssistServiceTest, CvPdfExportServiceTest, CvServiceTest</t>
  </si>
  <si>
    <t>CV-02-TC05</t>
  </si>
  <si>
    <t>Verify cv rejects invalid input (POST /api/v1/cvs/{id}/parse).</t>
  </si>
  <si>
    <t>1. Log in as Recruiter of tenant A.
2. Send POST /api/v1/cvs/{id}/parse with header X-Tenant-ID = tenant A with missing required fields or invalid values (empty text, wrong format, out-of-range numbers, non-existing IDs).
3. Check the response and the data in the system.</t>
  </si>
  <si>
    <t>Get (GET /api/v1/cvs/{id})</t>
  </si>
  <si>
    <t>CV-02-TC06</t>
  </si>
  <si>
    <t>Verify get succeeds with valid input (GET /api/v1/cvs/{id}).</t>
  </si>
  <si>
    <t>1. Log in as Recruiter of tenant A.
2. Send GET /api/v1/cvs/{id} with header X-Tenant-ID = tenant A.
3. Check the response and the data shown in the system.</t>
  </si>
  <si>
    <t>CV-02-TC07</t>
  </si>
  <si>
    <t>1. Send POST /api/v1/cvs/{id}/parse without an Authorization header.
2. Send the same request with a valid token of a role that is not allowed (e.g. Candidate calling a staff API).</t>
  </si>
  <si>
    <t>CV-02-TC08</t>
  </si>
  <si>
    <t>1. Log in as Recruiter of tenant B.
2. Send POST /api/v1/cvs/{id}/parse using a resource ID that belongs to tenant A, with header X-Tenant-ID = tenant A.
3. Open the related list screen of tenant B.</t>
  </si>
  <si>
    <t>Extract (POST /api/v1/cvs/{id}/extract)</t>
  </si>
  <si>
    <t>CV-03-TC03</t>
  </si>
  <si>
    <t>Verify extract succeeds with valid input (POST /api/v1/cvs/{id}/extract).</t>
  </si>
  <si>
    <t>1. Log in as Recruiter of tenant A.
2. Send POST /api/v1/cvs/{id}/extract with header X-Tenant-ID = tenant A and a valid request body.
3. Check the response and the data shown in the system.</t>
  </si>
  <si>
    <t>CV-03-TC04</t>
  </si>
  <si>
    <t>Verify extract rejects invalid input (POST /api/v1/cvs/{id}/extract).</t>
  </si>
  <si>
    <t>1. Log in as Recruiter of tenant A.
2. Send POST /api/v1/cvs/{id}/extract with header X-Tenant-ID = tenant A with missing required fields or invalid values (empty text, wrong format, out-of-range numbers, non-existing IDs).
3. Check the response and the data in the system.</t>
  </si>
  <si>
    <t>Extraction (GET /api/v1/cvs/{id}/extraction)</t>
  </si>
  <si>
    <t>CV-03-TC05</t>
  </si>
  <si>
    <t>Verify extraction succeeds with valid input (GET /api/v1/cvs/{id}/extraction).</t>
  </si>
  <si>
    <t>1. Log in as Recruiter of tenant A.
2. Send GET /api/v1/cvs/{id}/extraction with header X-Tenant-ID = tenant A.
3. Check the response and the data shown in the system.</t>
  </si>
  <si>
    <t>CV-03-TC06</t>
  </si>
  <si>
    <t>1. Send POST /api/v1/cvs/{id}/extract without an Authorization header.
2. Send the same request with a valid token of a role that is not allowed (e.g. Candidate calling a staff API).</t>
  </si>
  <si>
    <t>CV-03-TC07</t>
  </si>
  <si>
    <t>1. Log in as Recruiter of tenant B.
2. Send POST /api/v1/cvs/{id}/extract using a resource ID that belongs to tenant A, with header X-Tenant-ID = tenant A.
3. Open the related list screen of tenant B.</t>
  </si>
  <si>
    <t>Analyze (POST /api/v1/cvs/{id}/analyze)</t>
  </si>
  <si>
    <t>CV-04-TC03</t>
  </si>
  <si>
    <t>Verify analyze succeeds with valid input (POST /api/v1/cvs/{id}/analyze).</t>
  </si>
  <si>
    <t>1. Log in as Recruiter of tenant A.
2. Send POST /api/v1/cvs/{id}/analyze with header X-Tenant-ID = tenant A and a valid request body.
3. Check the response and the data shown in the system.</t>
  </si>
  <si>
    <t>CV-04-TC04</t>
  </si>
  <si>
    <t>Verify analyze rejects invalid input (POST /api/v1/cvs/{id}/analyze).</t>
  </si>
  <si>
    <t>1. Log in as Recruiter of tenant A.
2. Send POST /api/v1/cvs/{id}/analyze with header X-Tenant-ID = tenant A with missing required fields or invalid values (empty text, wrong format, out-of-range numbers, non-existing IDs).
3. Check the response and the data in the system.</t>
  </si>
  <si>
    <t>CV-04-TC05</t>
  </si>
  <si>
    <t>1. Send POST /api/v1/cvs/{id}/analyze without an Authorization header.
2. Send the same request with a valid token of a role that is not allowed (e.g. Candidate calling a staff API).</t>
  </si>
  <si>
    <t>CV-04-TC06</t>
  </si>
  <si>
    <t>1. Log in as Recruiter of tenant B.
2. Send POST /api/v1/cvs/{id}/analyze using a resource ID that belongs to tenant A, with header X-Tenant-ID = tenant A.
3. Open the related list screen of tenant B.</t>
  </si>
  <si>
    <t>Match (GET /api/v1/jobs/{id}/cvs/{id}/match)</t>
  </si>
  <si>
    <t>CV-05-TC08</t>
  </si>
  <si>
    <t>Verify match succeeds with valid input (GET /api/v1/jobs/{id}/cvs/{id}/match).</t>
  </si>
  <si>
    <t>1. Log in as Recruiter of tenant A.
2. Send GET /api/v1/jobs/{id}/cvs/{id}/match with header X-Tenant-ID = tenant A.
3. Check the response and the data shown in the system.</t>
  </si>
  <si>
    <t>Verified by automated tests: ApplicantServiceTest, CandidateEvaluationServiceTest, CvBuilderAssistServiceTest ...</t>
  </si>
  <si>
    <t>Recompute (POST /api/v1/jobs/{id}/cvs/{id}/match)</t>
  </si>
  <si>
    <t>CV-05-TC09</t>
  </si>
  <si>
    <t>Verify recompute succeeds with valid input (POST /api/v1/jobs/{id}/cvs/{id}/match).</t>
  </si>
  <si>
    <t>1. Log in as Recruiter of tenant A.
2. Send POST /api/v1/jobs/{id}/cvs/{id}/match with header X-Tenant-ID = tenant A and a valid request body.
3. Check the response and the data shown in the system.</t>
  </si>
  <si>
    <t>CV-05-TC10</t>
  </si>
  <si>
    <t>Verify recompute rejects invalid input (POST /api/v1/jobs/{id}/cvs/{id}/match).</t>
  </si>
  <si>
    <t>1. Log in as Recruiter of tenant A.
2. Send POST /api/v1/jobs/{id}/cvs/{id}/match with header X-Tenant-ID = tenant A with missing required fields or invalid values (empty text, wrong format, out-of-range numbers, non-existing IDs).
3. Check the response and the data in the system.</t>
  </si>
  <si>
    <t>Jobs (POST /api/v1/applications/{id}/cv-screening-decision)</t>
  </si>
  <si>
    <t>CV-05-TC11</t>
  </si>
  <si>
    <t>Verify jobs succeeds with valid input (POST /api/v1/applications/{id}/cv-screening-decision).</t>
  </si>
  <si>
    <t>1. Log in as Recruiter of tenant A.
2. Send POST /api/v1/applications/{id}/cv-screening-decision with header X-Tenant-ID = tenant A and a valid request body.
3. Check the response and the data shown in the system.</t>
  </si>
  <si>
    <t>CV-05-TC12</t>
  </si>
  <si>
    <t>Verify jobs rejects invalid input (POST /api/v1/applications/{id}/cv-screening-decision).</t>
  </si>
  <si>
    <t>1. Log in as Recruiter of tenant A.
2. Send POST /api/v1/applications/{id}/cv-screening-decision with header X-Tenant-ID = tenant A with missing required fields or invalid values (empty text, wrong format, out-of-range numbers, non-existing IDs).
3. Check the response and the data in the system.</t>
  </si>
  <si>
    <t>CV-05-TC13</t>
  </si>
  <si>
    <t>1. Send GET /api/v1/jobs/{id}/cvs/{id}/match without an Authorization header.
2. Send the same request with a valid token of a role that is not allowed (e.g. Candidate calling a staff API).</t>
  </si>
  <si>
    <t>CV-05-TC14</t>
  </si>
  <si>
    <t>1. Log in as Recruiter of tenant B.
2. Send GET /api/v1/jobs/{id}/cvs/{id}/match using a resource ID that belongs to tenant A, with header X-Tenant-ID = tenant A.
3. Open the related list screen of tenant B.</t>
  </si>
  <si>
    <t>Create from builder (POST /api/v1/cvs/builder)</t>
  </si>
  <si>
    <t>CV-06-TC23</t>
  </si>
  <si>
    <t>Verify create from builder succeeds with valid input (POST /api/v1/cvs/builder).</t>
  </si>
  <si>
    <t>1. Log in as Candidate of tenant A.
2. Send POST /api/v1/cvs/builder with header X-Tenant-ID = tenant A and a valid request body.
3. Check the response and the data shown in the system.</t>
  </si>
  <si>
    <t>Tenant A is ACTIVE. The Candidate account has permission for this action.</t>
  </si>
  <si>
    <t>Verified by automated tests: CvBuilderAssistServiceTest, CvBuilderPdfRendererTest, CvMatchingServiceTest ...</t>
  </si>
  <si>
    <t>CV-06-TC24</t>
  </si>
  <si>
    <t>Verify create from builder rejects invalid input (POST /api/v1/cvs/builder).</t>
  </si>
  <si>
    <t>1. Log in as Candidate of tenant A.
2. Send POST /api/v1/cvs/builder with header X-Tenant-ID = tenant A with missing required fields or invalid values (empty text, wrong format, out-of-range numbers, non-existing IDs).
3. Check the response and the data in the system.</t>
  </si>
  <si>
    <t>Update from builder (PUT /api/v1/cvs/{id}/builder)</t>
  </si>
  <si>
    <t>CV-06-TC25</t>
  </si>
  <si>
    <t>Verify update from builder succeeds with valid input (PUT /api/v1/cvs/{id}/builder).</t>
  </si>
  <si>
    <t>1. Log in as Candidate of tenant A.
2. Send PUT /api/v1/cvs/{id}/builder with header X-Tenant-ID = tenant A and a valid request body.
3. Check the response and the data shown in the system.</t>
  </si>
  <si>
    <t>CV-06-TC26</t>
  </si>
  <si>
    <t>Verify update from builder rejects invalid input (PUT /api/v1/cvs/{id}/builder).</t>
  </si>
  <si>
    <t>1. Log in as Candidate of tenant A.
2. Send PUT /api/v1/cvs/{id}/builder with header X-Tenant-ID = tenant A with missing required fields or invalid values (empty text, wrong format, out-of-range numbers, non-existing IDs).
3. Check the response and the data in the system.</t>
  </si>
  <si>
    <t>CV-06-TC27</t>
  </si>
  <si>
    <t>1. Log in as Candidate of tenant A.
2. Send GET /api/v1/cvs/{id} with header X-Tenant-ID = tenant A.
3. Check the response and the data shown in the system.</t>
  </si>
  <si>
    <t>Mine (GET /api/v1/cvs/me)</t>
  </si>
  <si>
    <t>CV-06-TC28</t>
  </si>
  <si>
    <t>Verify mine succeeds with valid input (GET /api/v1/cvs/me).</t>
  </si>
  <si>
    <t>1. Log in as Candidate of tenant A.
2. Send GET /api/v1/cvs/me with header X-Tenant-ID = tenant A.
3. Check the response and the data shown in the system.</t>
  </si>
  <si>
    <t>Image (POST /api/v1/cvs/builder/avatar)</t>
  </si>
  <si>
    <t>CV-06-TC29</t>
  </si>
  <si>
    <t>Verify image succeeds with valid input (POST /api/v1/cvs/builder/avatar).</t>
  </si>
  <si>
    <t>1. Log in as Candidate of tenant A.
2. Send POST /api/v1/cvs/builder/avatar with header X-Tenant-ID = tenant A and a valid request body.
3. Check the response and the data shown in the system.</t>
  </si>
  <si>
    <t>CV-06-TC30</t>
  </si>
  <si>
    <t>Verify image rejects invalid input (POST /api/v1/cvs/builder/avatar).</t>
  </si>
  <si>
    <t>1. Log in as Candidate of tenant A.
2. Send POST /api/v1/cvs/builder/avatar with header X-Tenant-ID = tenant A with missing required fields or invalid values (empty text, wrong format, out-of-range numbers, non-existing IDs).
3. Check the response and the data in the system.</t>
  </si>
  <si>
    <t>Cv (POST /api/v1/cvs/{id}/duplicate)</t>
  </si>
  <si>
    <t>CV-06-TC31</t>
  </si>
  <si>
    <t>Verify cv succeeds with valid input (POST /api/v1/cvs/{id}/duplicate).</t>
  </si>
  <si>
    <t>1. Log in as Candidate of tenant A.
2. Send POST /api/v1/cvs/{id}/duplicate with header X-Tenant-ID = tenant A and a valid request body.
3. Check the response and the data shown in the system.</t>
  </si>
  <si>
    <t>CV-06-TC32</t>
  </si>
  <si>
    <t>Verify cv rejects invalid input (POST /api/v1/cvs/{id}/duplicate).</t>
  </si>
  <si>
    <t>1. Log in as Candidate of tenant A.
2. Send POST /api/v1/cvs/{id}/duplicate with header X-Tenant-ID = tenant A with missing required fields or invalid values (empty text, wrong format, out-of-range numbers, non-existing IDs).
3. Check the response and the data in the system.</t>
  </si>
  <si>
    <t>Cvs (PATCH /api/v1/cvs/{id}/name)</t>
  </si>
  <si>
    <t>CV-06-TC33</t>
  </si>
  <si>
    <t>Verify cvs succeeds with valid input (PATCH /api/v1/cvs/{id}/name).</t>
  </si>
  <si>
    <t>1. Log in as Candidate of tenant A.
2. Send PATCH /api/v1/cvs/{id}/name with header X-Tenant-ID = tenant A and a valid request body.
3. Check the response and the data shown in the system.</t>
  </si>
  <si>
    <t>CV-06-TC34</t>
  </si>
  <si>
    <t>Verify cvs rejects invalid input (PATCH /api/v1/cvs/{id}/name).</t>
  </si>
  <si>
    <t>1. Log in as Candidate of tenant A.
2. Send PATCH /api/v1/cvs/{id}/name with header X-Tenant-ID = tenant A with missing required fields or invalid values (empty text, wrong format, out-of-range numbers, non-existing IDs).
3. Check the response and the data in the system.</t>
  </si>
  <si>
    <t>Share (POST /api/v1/cvs/{id}/share)</t>
  </si>
  <si>
    <t>CV-06-TC35</t>
  </si>
  <si>
    <t>Verify share succeeds with valid input (POST /api/v1/cvs/{id}/share).</t>
  </si>
  <si>
    <t>1. Log in as Candidate of tenant A.
2. Send POST /api/v1/cvs/{id}/share with header X-Tenant-ID = tenant A and a valid request body.
3. Check the response and the data shown in the system.</t>
  </si>
  <si>
    <t>CV-06-TC36</t>
  </si>
  <si>
    <t>Verify share rejects invalid input (POST /api/v1/cvs/{id}/share).</t>
  </si>
  <si>
    <t>1. Log in as Candidate of tenant A.
2. Send POST /api/v1/cvs/{id}/share with header X-Tenant-ID = tenant A with missing required fields or invalid values (empty text, wrong format, out-of-range numbers, non-existing IDs).
3. Check the response and the data in the system.</t>
  </si>
  <si>
    <t>Link (DELETE /api/v1/cvs/{id}/share)</t>
  </si>
  <si>
    <t>CV-06-TC37</t>
  </si>
  <si>
    <t>Verify link succeeds with valid input (DELETE /api/v1/cvs/{id}/share).</t>
  </si>
  <si>
    <t>1. Log in as Candidate of tenant A.
2. Send DELETE /api/v1/cvs/{id}/share with header X-Tenant-ID = tenant A.
3. Check the response and the data shown in the system.</t>
  </si>
  <si>
    <t>CV-06-TC38</t>
  </si>
  <si>
    <t>Verify link rejects invalid input (DELETE /api/v1/cvs/{id}/share).</t>
  </si>
  <si>
    <t>1. Log in as Candidate of tenant A.
2. Send DELETE /api/v1/cvs/{id}/share with header X-Tenant-ID = tenant A with missing required fields or invalid values (empty text, wrong format, out-of-range numbers, non-existing IDs).
3. Check the response and the data in the system.</t>
  </si>
  <si>
    <t>Shared (GET /api/v1/public/cvs/{id})</t>
  </si>
  <si>
    <t>CV-06-TC39</t>
  </si>
  <si>
    <t>Verify shared succeeds with valid input (GET /api/v1/public/cvs/{id}).</t>
  </si>
  <si>
    <t>1. Do not log in (public endpoint).
2. Send GET /api/v1/public/cvs/{id}.
3. Check the response and the data shown in the system.</t>
  </si>
  <si>
    <t>Description (POST /api/v1/cvs/builder/suggestions)</t>
  </si>
  <si>
    <t>CV-06-TC40</t>
  </si>
  <si>
    <t>Verify description succeeds with valid input (POST /api/v1/cvs/builder/suggestions).</t>
  </si>
  <si>
    <t>1. Log in as Candidate of tenant A.
2. Send POST /api/v1/cvs/builder/suggestions with header X-Tenant-ID = tenant A and a valid request body.
3. Check the response and the data shown in the system.</t>
  </si>
  <si>
    <t>CV-06-TC41</t>
  </si>
  <si>
    <t>Verify description rejects invalid input (POST /api/v1/cvs/builder/suggestions).</t>
  </si>
  <si>
    <t>1. Log in as Candidate of tenant A.
2. Send POST /api/v1/cvs/builder/suggestions with header X-Tenant-ID = tenant A with missing required fields or invalid values (empty text, wrong format, out-of-range numbers, non-existing IDs).
3. Check the response and the data in the system.</t>
  </si>
  <si>
    <t>Skills (POST /api/v1/cvs/builder/job-match)</t>
  </si>
  <si>
    <t>CV-06-TC42</t>
  </si>
  <si>
    <t>Verify skills succeeds with valid input (POST /api/v1/cvs/builder/job-match).</t>
  </si>
  <si>
    <t>1. Log in as Candidate of tenant A.
2. Send POST /api/v1/cvs/builder/job-match with header X-Tenant-ID = tenant A and a valid request body.
3. Check the response and the data shown in the system.</t>
  </si>
  <si>
    <t>CV-06-TC43</t>
  </si>
  <si>
    <t>Verify skills rejects invalid input (POST /api/v1/cvs/builder/job-match).</t>
  </si>
  <si>
    <t>1. Log in as Candidate of tenant A.
2. Send POST /api/v1/cvs/builder/job-match with header X-Tenant-ID = tenant A with missing required fields or invalid values (empty text, wrong format, out-of-range numbers, non-existing IDs).
3. Check the response and the data in the system.</t>
  </si>
  <si>
    <t>Sheet (POST /api/v1/cvs/builder/pdf)</t>
  </si>
  <si>
    <t>CV-06-TC44</t>
  </si>
  <si>
    <t>Verify sheet succeeds with valid input (POST /api/v1/cvs/builder/pdf).</t>
  </si>
  <si>
    <t>1. Log in as Candidate of tenant A.
2. Send POST /api/v1/cvs/builder/pdf with header X-Tenant-ID = tenant A and a valid request body.
3. Check the response and the data shown in the system.</t>
  </si>
  <si>
    <t>CV-06-TC45</t>
  </si>
  <si>
    <t>Verify sheet rejects invalid input (POST /api/v1/cvs/builder/pdf).</t>
  </si>
  <si>
    <t>1. Log in as Candidate of tenant A.
2. Send POST /api/v1/cvs/builder/pdf with header X-Tenant-ID = tenant A with missing required fields or invalid values (empty text, wrong format, out-of-range numbers, non-existing IDs).
3. Check the response and the data in the system.</t>
  </si>
  <si>
    <t>CV-06-TC46</t>
  </si>
  <si>
    <t>1. Send POST /api/v1/cvs/builder without an Authorization header.
2. Send the same request with a valid token of a role that is not allowed (e.g. Candidate calling a staff API).</t>
  </si>
  <si>
    <t>CV-06-TC47</t>
  </si>
  <si>
    <t>1. Log in as Candidate of tenant B.
2. Send PUT /api/v1/cvs/{id}/builder using a resource ID that belongs to tenant A, with header X-Tenant-ID = tenant A.
3. Open the related list screen of tenant B.</t>
  </si>
  <si>
    <t>Summary (GET /api/v1/dashboard/summary)</t>
  </si>
  <si>
    <t>DASH-01-TC03</t>
  </si>
  <si>
    <t>Verify summary succeeds with valid input (GET /api/v1/dashboard/summary).</t>
  </si>
  <si>
    <t>1. Log in as Admin of tenant A.
2. Send GET /api/v1/dashboard/summary with header X-Tenant-ID = tenant A.
3. Check the response and the data shown in the system.</t>
  </si>
  <si>
    <t>Verified by automated tests: DashboardControllerTest, DashboardServiceTest, JobExpiryRabbitMQIntegrationTest ...</t>
  </si>
  <si>
    <t>Action items (GET /api/v1/dashboard/action-items)</t>
  </si>
  <si>
    <t>DASH-01-TC04</t>
  </si>
  <si>
    <t>Verify action items succeeds with valid input (GET /api/v1/dashboard/action-items).</t>
  </si>
  <si>
    <t>1. Log in as Admin of tenant A.
2. Send GET /api/v1/dashboard/action-items with header X-Tenant-ID = tenant A.
3. Check the response and the data shown in the system.</t>
  </si>
  <si>
    <t>Workload (GET /api/v1/analytics/recruiter/workload)</t>
  </si>
  <si>
    <t>DASH-01-TC05</t>
  </si>
  <si>
    <t>Verify workload succeeds with valid input (GET /api/v1/analytics/recruiter/workload).</t>
  </si>
  <si>
    <t>1. Log in as Admin of tenant A.
2. Send GET /api/v1/analytics/recruiter/workload with header X-Tenant-ID = tenant A.
3. Check the response and the data shown in the system.</t>
  </si>
  <si>
    <t>Performance (GET /api/v1/analytics/recruiter/performance)</t>
  </si>
  <si>
    <t>DASH-01-TC06</t>
  </si>
  <si>
    <t>Verify performance succeeds with valid input (GET /api/v1/analytics/recruiter/performance).</t>
  </si>
  <si>
    <t>1. Log in as Admin of tenant A.
2. Send GET /api/v1/analytics/recruiter/performance with header X-Tenant-ID = tenant A.
3. Check the response and the data shown in the system.</t>
  </si>
  <si>
    <t>DASH-01-TC07</t>
  </si>
  <si>
    <t>1. Send GET /api/v1/dashboard/summary without an Authorization header.
2. Send the same request with a valid token of a role that is not allowed (e.g. Candidate calling a staff API).</t>
  </si>
  <si>
    <t>DASH-01-TC08</t>
  </si>
  <si>
    <t>1. Log in as Admin of tenant B.
2. Send GET /api/v1/dashboard/summary using a resource ID that belongs to tenant A, with header X-Tenant-ID = tenant A.
3. Open the related list screen of tenant B.</t>
  </si>
  <si>
    <t>Charts (GET /api/v1/dashboard/charts)</t>
  </si>
  <si>
    <t>DASH-02-TC03</t>
  </si>
  <si>
    <t>Verify charts succeeds with valid input (GET /api/v1/dashboard/charts).</t>
  </si>
  <si>
    <t>1. Log in as Admin of tenant A.
2. Send GET /api/v1/dashboard/charts with header X-Tenant-ID = tenant A.
3. Check the response and the data shown in the system.</t>
  </si>
  <si>
    <t>Pipeline (GET /api/v1/analytics/recruiter/pipeline)</t>
  </si>
  <si>
    <t>DASH-02-TC04</t>
  </si>
  <si>
    <t>Verify pipeline succeeds with valid input (GET /api/v1/analytics/recruiter/pipeline).</t>
  </si>
  <si>
    <t>1. Log in as Admin of tenant A.
2. Send GET /api/v1/analytics/recruiter/pipeline with header X-Tenant-ID = tenant A.
3. Check the response and the data shown in the system.</t>
  </si>
  <si>
    <t>Quality (GET /api/v1/analytics/recruiter/quality)</t>
  </si>
  <si>
    <t>DASH-02-TC05</t>
  </si>
  <si>
    <t>Verify quality succeeds with valid input (GET /api/v1/analytics/recruiter/quality).</t>
  </si>
  <si>
    <t>1. Log in as Admin of tenant A.
2. Send GET /api/v1/analytics/recruiter/quality with header X-Tenant-ID = tenant A.
3. Check the response and the data shown in the system.</t>
  </si>
  <si>
    <t>DASH-02-TC06</t>
  </si>
  <si>
    <t>1. Send GET /api/v1/dashboard/charts without an Authorization header.
2. Send the same request with a valid token of a role that is not allowed (e.g. Candidate calling a staff API).</t>
  </si>
  <si>
    <t>DASH-02-TC07</t>
  </si>
  <si>
    <t>1. Log in as Admin of tenant B.
2. Send GET /api/v1/dashboard/charts using a resource ID that belongs to tenant A, with header X-Tenant-ID = tenant A.
3. Open the related list screen of tenant B.</t>
  </si>
  <si>
    <t>Trends (GET /api/v1/dashboard/trends)</t>
  </si>
  <si>
    <t>DASH-03-TC03</t>
  </si>
  <si>
    <t>Verify trends succeeds with valid input (GET /api/v1/dashboard/trends).</t>
  </si>
  <si>
    <t>1. Log in as Admin of tenant A.
2. Send GET /api/v1/dashboard/trends with header X-Tenant-ID = tenant A.
3. Check the response and the data shown in the system.</t>
  </si>
  <si>
    <t>DASH-03-TC04</t>
  </si>
  <si>
    <t>DASH-03-TC05</t>
  </si>
  <si>
    <t>1. Send GET /api/v1/dashboard/trends without an Authorization header.
2. Send the same request with a valid token of a role that is not allowed (e.g. Candidate calling a staff API).</t>
  </si>
  <si>
    <t>DASH-03-TC06</t>
  </si>
  <si>
    <t>1. Log in as Admin of tenant B.
2. Send GET /api/v1/dashboard/trends using a resource ID that belongs to tenant A, with header X-Tenant-ID = tenant A.
3. Open the related list screen of tenant B.</t>
  </si>
  <si>
    <t>Configuration (GET /api/v1/jobs/{id}/ai-interview-config)</t>
  </si>
  <si>
    <t>INT-01-TC21</t>
  </si>
  <si>
    <t>Verify configuration succeeds with valid input (GET /api/v1/jobs/{id}/ai-interview-config).</t>
  </si>
  <si>
    <t>1. Log in as Recruiter of tenant A.
2. Send GET /api/v1/jobs/{id}/ai-interview-config with header X-Tenant-ID = tenant A.
3. Check the response and the data shown in the system.</t>
  </si>
  <si>
    <t>Verified by automated tests: AiInterviewCandidateTest, AiInterviewConfigServiceTest, AiInterviewVoiceServiceTest</t>
  </si>
  <si>
    <t>Score (PUT /api/v1/jobs/{id}/ai-interview-config)</t>
  </si>
  <si>
    <t>INT-01-TC22</t>
  </si>
  <si>
    <t>Verify score succeeds with valid input (PUT /api/v1/jobs/{id}/ai-interview-config).</t>
  </si>
  <si>
    <t>1. Log in as Recruiter of tenant A.
2. Send PUT /api/v1/jobs/{id}/ai-interview-config with header X-Tenant-ID = tenant A and a valid request body.
3. Check the response and the data shown in the system.</t>
  </si>
  <si>
    <t>INT-01-TC23</t>
  </si>
  <si>
    <t>Verify score rejects invalid input (PUT /api/v1/jobs/{id}/ai-interview-config).</t>
  </si>
  <si>
    <t>1. Log in as Recruiter of tenant A.
2. Send PUT /api/v1/jobs/{id}/ai-interview-config with header X-Tenant-ID = tenant A with missing required fields or invalid values (empty text, wrong format, out-of-range numbers, non-existing IDs).
3. Check the response and the data in the system.</t>
  </si>
  <si>
    <t>Saving (POST /api/v1/jobs/{id}/ai-interview-config/suggest-roadmap)</t>
  </si>
  <si>
    <t>INT-01-TC24</t>
  </si>
  <si>
    <t>Verify saving succeeds with valid input (POST /api/v1/jobs/{id}/ai-interview-config/suggest-roadmap).</t>
  </si>
  <si>
    <t>1. Log in as Recruiter of tenant A.
2. Send POST /api/v1/jobs/{id}/ai-interview-config/suggest-roadmap with header X-Tenant-ID = tenant A and a valid request body.
3. Check the response and the data shown in the system.</t>
  </si>
  <si>
    <t>INT-01-TC25</t>
  </si>
  <si>
    <t>Verify saving rejects invalid input (POST /api/v1/jobs/{id}/ai-interview-config/suggest-roadmap).</t>
  </si>
  <si>
    <t>1. Log in as Recruiter of tenant A.
2. Send POST /api/v1/jobs/{id}/ai-interview-config/suggest-roadmap with header X-Tenant-ID = tenant A with missing required fields or invalid values (empty text, wrong format, out-of-range numbers, non-existing IDs).
3. Check the response and the data in the system.</t>
  </si>
  <si>
    <t>Application (POST /api/v1/ai-interviews/applications/{id}/start)</t>
  </si>
  <si>
    <t>INT-01-TC26</t>
  </si>
  <si>
    <t>Verify application succeeds with valid input (POST /api/v1/ai-interviews/applications/{id}/start).</t>
  </si>
  <si>
    <t>1. Log in as Recruiter of tenant A.
2. Send POST /api/v1/ai-interviews/applications/{id}/start with header X-Tenant-ID = tenant A and a valid request body.
3. Check the response and the data shown in the system.</t>
  </si>
  <si>
    <t>INT-01-TC27</t>
  </si>
  <si>
    <t>Verify application rejects invalid input (POST /api/v1/ai-interviews/applications/{id}/start).</t>
  </si>
  <si>
    <t>1. Log in as Recruiter of tenant A.
2. Send POST /api/v1/ai-interviews/applications/{id}/start with header X-Tenant-ID = tenant A with missing required fields or invalid values (empty text, wrong format, out-of-range numbers, non-existing IDs).
3. Check the response and the data in the system.</t>
  </si>
  <si>
    <t>Mine (GET /api/v1/ai-interviews/me)</t>
  </si>
  <si>
    <t>INT-01-TC28</t>
  </si>
  <si>
    <t>Verify mine succeeds with valid input (GET /api/v1/ai-interviews/me).</t>
  </si>
  <si>
    <t>1. Log in as Recruiter of tenant A.
2. Send GET /api/v1/ai-interviews/me with header X-Tenant-ID = tenant A.
3. Check the response and the data shown in the system.</t>
  </si>
  <si>
    <t>Questions (POST /api/v1/ai-interviews/{id}/start)</t>
  </si>
  <si>
    <t>INT-01-TC29</t>
  </si>
  <si>
    <t>Verify questions succeeds with valid input (POST /api/v1/ai-interviews/{id}/start).</t>
  </si>
  <si>
    <t>1. Log in as Recruiter of tenant A.
2. Send POST /api/v1/ai-interviews/{id}/start with header X-Tenant-ID = tenant A and a valid request body.
3. Check the response and the data shown in the system.</t>
  </si>
  <si>
    <t>INT-01-TC30</t>
  </si>
  <si>
    <t>Verify questions rejects invalid input (POST /api/v1/ai-interviews/{id}/start).</t>
  </si>
  <si>
    <t>1. Log in as Recruiter of tenant A.
2. Send POST /api/v1/ai-interviews/{id}/start with header X-Tenant-ID = tenant A with missing required fields or invalid values (empty text, wrong format, out-of-range numbers, non-existing IDs).
3. Check the response and the data in the system.</t>
  </si>
  <si>
    <t>Question (PUT /api/v1/ai-interviews/{id}/questions/{id}/answer)</t>
  </si>
  <si>
    <t>INT-01-TC31</t>
  </si>
  <si>
    <t>Verify question succeeds with valid input (PUT /api/v1/ai-interviews/{id}/questions/{id}/answer).</t>
  </si>
  <si>
    <t>1. Log in as Recruiter of tenant A.
2. Send PUT /api/v1/ai-interviews/{id}/questions/{id}/answer with header X-Tenant-ID = tenant A and a valid request body.
3. Check the response and the data shown in the system.</t>
  </si>
  <si>
    <t>INT-01-TC32</t>
  </si>
  <si>
    <t>Verify question rejects invalid input (PUT /api/v1/ai-interviews/{id}/questions/{id}/answer).</t>
  </si>
  <si>
    <t>1. Log in as Recruiter of tenant A.
2. Send PUT /api/v1/ai-interviews/{id}/questions/{id}/answer with header X-Tenant-ID = tenant A with missing required fields or invalid values (empty text, wrong format, out-of-range numbers, non-existing IDs).
3. Check the response and the data in the system.</t>
  </si>
  <si>
    <t>Interview (POST /api/v1/ai-interviews/{id}/complete)</t>
  </si>
  <si>
    <t>INT-01-TC33</t>
  </si>
  <si>
    <t>Verify interview succeeds with valid input (POST /api/v1/ai-interviews/{id}/complete).</t>
  </si>
  <si>
    <t>1. Log in as Recruiter of tenant A.
2. Send POST /api/v1/ai-interviews/{id}/complete with header X-Tenant-ID = tenant A and a valid request body.
3. Check the response and the data shown in the system.</t>
  </si>
  <si>
    <t>INT-01-TC34</t>
  </si>
  <si>
    <t>Verify interview rejects invalid input (POST /api/v1/ai-interviews/{id}/complete).</t>
  </si>
  <si>
    <t>1. Log in as Recruiter of tenant A.
2. Send POST /api/v1/ai-interviews/{id}/complete with header X-Tenant-ID = tenant A with missing required fields or invalid values (empty text, wrong format, out-of-range numbers, non-existing IDs).
3. Check the response and the data in the system.</t>
  </si>
  <si>
    <t>INT-01-TC35</t>
  </si>
  <si>
    <t>INT-01-TC36</t>
  </si>
  <si>
    <t>Get (GET /api/v1/ai-interviews/{id})</t>
  </si>
  <si>
    <t>INT-01-TC37</t>
  </si>
  <si>
    <t>Verify get succeeds with valid input (GET /api/v1/ai-interviews/{id}).</t>
  </si>
  <si>
    <t>1. Log in as Recruiter of tenant A.
2. Send GET /api/v1/ai-interviews/{id} with header X-Tenant-ID = tenant A.
3. Check the response and the data shown in the system.</t>
  </si>
  <si>
    <t>Step (GET /api/v1/ai-interviews/{id}/logs)</t>
  </si>
  <si>
    <t>INT-01-TC38</t>
  </si>
  <si>
    <t>Verify step succeeds with valid input (GET /api/v1/ai-interviews/{id}/logs).</t>
  </si>
  <si>
    <t>1. Log in as Recruiter of tenant A.
2. Send GET /api/v1/ai-interviews/{id}/logs with header X-Tenant-ID = tenant A.
3. Check the response and the data shown in the system.</t>
  </si>
  <si>
    <t>Session (POST /api/v1/ai-interviews)</t>
  </si>
  <si>
    <t>INT-01-TC39</t>
  </si>
  <si>
    <t>Verify session succeeds with valid input (POST /api/v1/ai-interviews).</t>
  </si>
  <si>
    <t>1. Log in as Recruiter of tenant A.
2. Send POST /api/v1/ai-interviews with header X-Tenant-ID = tenant A and a valid request body.
3. Check the response and the data shown in the system.</t>
  </si>
  <si>
    <t>INT-01-TC40</t>
  </si>
  <si>
    <t>Verify session rejects invalid input (POST /api/v1/ai-interviews).</t>
  </si>
  <si>
    <t>1. Log in as Recruiter of tenant A.
2. Send POST /api/v1/ai-interviews with header X-Tenant-ID = tenant A with missing required fields or invalid values (empty text, wrong format, out-of-range numbers, non-existing IDs).
3. Check the response and the data in the system.</t>
  </si>
  <si>
    <t>Sessions (GET /api/v1/ai-interviews)</t>
  </si>
  <si>
    <t>INT-01-TC41</t>
  </si>
  <si>
    <t>Verify sessions succeeds with valid input (GET /api/v1/ai-interviews).</t>
  </si>
  <si>
    <t>1. Log in as Recruiter of tenant A.
2. Send GET /api/v1/ai-interviews with header X-Tenant-ID = tenant A.
3. Check the response and the data shown in the system.</t>
  </si>
  <si>
    <t>Session (PUT /api/v1/ai-interviews/{id})</t>
  </si>
  <si>
    <t>INT-01-TC42</t>
  </si>
  <si>
    <t>Verify session succeeds with valid input (PUT /api/v1/ai-interviews/{id}).</t>
  </si>
  <si>
    <t>1. Log in as Recruiter of tenant A.
2. Send PUT /api/v1/ai-interviews/{id} with header X-Tenant-ID = tenant A and a valid request body.
3. Check the response and the data shown in the system.</t>
  </si>
  <si>
    <t>INT-01-TC43</t>
  </si>
  <si>
    <t>Verify session rejects invalid input (PUT /api/v1/ai-interviews/{id}).</t>
  </si>
  <si>
    <t>1. Log in as Recruiter of tenant A.
2. Send PUT /api/v1/ai-interviews/{id} with header X-Tenant-ID = tenant A with missing required fields or invalid values (empty text, wrong format, out-of-range numbers, non-existing IDs).
3. Check the response and the data in the system.</t>
  </si>
  <si>
    <t>Data (DELETE /api/v1/ai-interviews/{id})</t>
  </si>
  <si>
    <t>INT-01-TC44</t>
  </si>
  <si>
    <t>Verify data succeeds with valid input (DELETE /api/v1/ai-interviews/{id}).</t>
  </si>
  <si>
    <t>1. Log in as Recruiter of tenant A.
2. Send DELETE /api/v1/ai-interviews/{id} with header X-Tenant-ID = tenant A.
3. Check the response and the data shown in the system.</t>
  </si>
  <si>
    <t>INT-01-TC45</t>
  </si>
  <si>
    <t>Verify data rejects invalid input (DELETE /api/v1/ai-interviews/{id}).</t>
  </si>
  <si>
    <t>1. Log in as Recruiter of tenant A.
2. Send DELETE /api/v1/ai-interviews/{id} with header X-Tenant-ID = tenant A with missing required fields or invalid values (empty text, wrong format, out-of-range numbers, non-existing IDs).
3. Check the response and the data in the system.</t>
  </si>
  <si>
    <t>Generation (POST /api/v1/ai-interviews/{id}/questions/generate)</t>
  </si>
  <si>
    <t>INT-01-TC46</t>
  </si>
  <si>
    <t>Verify generation succeeds with valid input (POST /api/v1/ai-interviews/{id}/questions/generate).</t>
  </si>
  <si>
    <t>1. Log in as Recruiter of tenant A.
2. Send POST /api/v1/ai-interviews/{id}/questions/generate with header X-Tenant-ID = tenant A and a valid request body.
3. Check the response and the data shown in the system.</t>
  </si>
  <si>
    <t>INT-01-TC47</t>
  </si>
  <si>
    <t>Verify generation rejects invalid input (POST /api/v1/ai-interviews/{id}/questions/generate).</t>
  </si>
  <si>
    <t>1. Log in as Recruiter of tenant A.
2. Send POST /api/v1/ai-interviews/{id}/questions/generate with header X-Tenant-ID = tenant A with missing required fields or invalid values (empty text, wrong format, out-of-range numbers, non-existing IDs).
3. Check the response and the data in the system.</t>
  </si>
  <si>
    <t>Interview (POST /api/v1/ai-interviews/{id}/questions)</t>
  </si>
  <si>
    <t>INT-01-TC48</t>
  </si>
  <si>
    <t>Verify interview succeeds with valid input (POST /api/v1/ai-interviews/{id}/questions).</t>
  </si>
  <si>
    <t>1. Log in as Recruiter of tenant A.
2. Send POST /api/v1/ai-interviews/{id}/questions with header X-Tenant-ID = tenant A and a valid request body.
3. Check the response and the data shown in the system.</t>
  </si>
  <si>
    <t>INT-01-TC49</t>
  </si>
  <si>
    <t>Verify interview rejects invalid input (POST /api/v1/ai-interviews/{id}/questions).</t>
  </si>
  <si>
    <t>1. Log in as Recruiter of tenant A.
2. Send POST /api/v1/ai-interviews/{id}/questions with header X-Tenant-ID = tenant A with missing required fields or invalid values (empty text, wrong format, out-of-range numbers, non-existing IDs).
3. Check the response and the data in the system.</t>
  </si>
  <si>
    <t>POST /api/v1/ai-interviews/{id}/questions/{id} (POST /api/v1/ai-interviews/{id}/questions/{id})</t>
  </si>
  <si>
    <t>INT-01-TC50</t>
  </si>
  <si>
    <t>Verify post /api/v1/ai-interviews/{id}/questions/{id} succeeds with valid input (POST /api/v1/ai-interviews/{id}/questions/{id}).</t>
  </si>
  <si>
    <t>1. Log in as Recruiter of tenant A.
2. Send POST /api/v1/ai-interviews/{id}/questions/{id} with header X-Tenant-ID = tenant A and a valid request body.
3. Check the response and the data shown in the system.</t>
  </si>
  <si>
    <t>INT-01-TC51</t>
  </si>
  <si>
    <t>Verify post /api/v1/ai-interviews/{id}/questions/{id} rejects invalid input (POST /api/v1/ai-interviews/{id}/questions/{id}).</t>
  </si>
  <si>
    <t>1. Log in as Recruiter of tenant A.
2. Send POST /api/v1/ai-interviews/{id}/questions/{id} with header X-Tenant-ID = tenant A with missing required fields or invalid values (empty text, wrong format, out-of-range numbers, non-existing IDs).
3. Check the response and the data in the system.</t>
  </si>
  <si>
    <t>PUT /api/v1/ai-interviews/{id}/questions (PUT /api/v1/ai-interviews/{id}/questions)</t>
  </si>
  <si>
    <t>INT-01-TC52</t>
  </si>
  <si>
    <t>Verify put /api/v1/ai-interviews/{id}/questions succeeds with valid input (PUT /api/v1/ai-interviews/{id}/questions).</t>
  </si>
  <si>
    <t>1. Log in as Recruiter of tenant A.
2. Send PUT /api/v1/ai-interviews/{id}/questions with header X-Tenant-ID = tenant A and a valid request body.
3. Check the response and the data shown in the system.</t>
  </si>
  <si>
    <t>INT-01-TC53</t>
  </si>
  <si>
    <t>Verify put /api/v1/ai-interviews/{id}/questions rejects invalid input (PUT /api/v1/ai-interviews/{id}/questions).</t>
  </si>
  <si>
    <t>1. Log in as Recruiter of tenant A.
2. Send PUT /api/v1/ai-interviews/{id}/questions with header X-Tenant-ID = tenant A with missing required fields or invalid values (empty text, wrong format, out-of-range numbers, non-existing IDs).
3. Check the response and the data in the system.</t>
  </si>
  <si>
    <t>Question (PUT /api/v1/ai-interviews/{id}/questions/{id})</t>
  </si>
  <si>
    <t>INT-01-TC54</t>
  </si>
  <si>
    <t>Verify question succeeds with valid input (PUT /api/v1/ai-interviews/{id}/questions/{id}).</t>
  </si>
  <si>
    <t>1. Log in as Recruiter of tenant A.
2. Send PUT /api/v1/ai-interviews/{id}/questions/{id} with header X-Tenant-ID = tenant A and a valid request body.
3. Check the response and the data shown in the system.</t>
  </si>
  <si>
    <t>INT-01-TC55</t>
  </si>
  <si>
    <t>Verify question rejects invalid input (PUT /api/v1/ai-interviews/{id}/questions/{id}).</t>
  </si>
  <si>
    <t>1. Log in as Recruiter of tenant A.
2. Send PUT /api/v1/ai-interviews/{id}/questions/{id} with header X-Tenant-ID = tenant A with missing required fields or invalid values (empty text, wrong format, out-of-range numbers, non-existing IDs).
3. Check the response and the data in the system.</t>
  </si>
  <si>
    <t>DELETE /api/v1/ai-interviews/{id}/questions (DELETE /api/v1/ai-interviews/{id}/questions)</t>
  </si>
  <si>
    <t>INT-01-TC56</t>
  </si>
  <si>
    <t>Verify delete /api/v1/ai-interviews/{id}/questions succeeds with valid input (DELETE /api/v1/ai-interviews/{id}/questions).</t>
  </si>
  <si>
    <t>1. Log in as Recruiter of tenant A.
2. Send DELETE /api/v1/ai-interviews/{id}/questions with header X-Tenant-ID = tenant A.
3. Check the response and the data shown in the system.</t>
  </si>
  <si>
    <t>INT-01-TC57</t>
  </si>
  <si>
    <t>Verify delete /api/v1/ai-interviews/{id}/questions rejects invalid input (DELETE /api/v1/ai-interviews/{id}/questions).</t>
  </si>
  <si>
    <t>1. Log in as Recruiter of tenant A.
2. Send DELETE /api/v1/ai-interviews/{id}/questions with header X-Tenant-ID = tenant A with missing required fields or invalid values (empty text, wrong format, out-of-range numbers, non-existing IDs).
3. Check the response and the data in the system.</t>
  </si>
  <si>
    <t>Question (DELETE /api/v1/ai-interviews/{id}/questions/{id})</t>
  </si>
  <si>
    <t>INT-01-TC58</t>
  </si>
  <si>
    <t>Verify question succeeds with valid input (DELETE /api/v1/ai-interviews/{id}/questions/{id}).</t>
  </si>
  <si>
    <t>1. Log in as Recruiter of tenant A.
2. Send DELETE /api/v1/ai-interviews/{id}/questions/{id} with header X-Tenant-ID = tenant A.
3. Check the response and the data shown in the system.</t>
  </si>
  <si>
    <t>INT-01-TC59</t>
  </si>
  <si>
    <t>Verify question rejects invalid input (DELETE /api/v1/ai-interviews/{id}/questions/{id}).</t>
  </si>
  <si>
    <t>1. Log in as Recruiter of tenant A.
2. Send DELETE /api/v1/ai-interviews/{id}/questions/{id} with header X-Tenant-ID = tenant A with missing required fields or invalid values (empty text, wrong format, out-of-range numbers, non-existing IDs).
3. Check the response and the data in the system.</t>
  </si>
  <si>
    <t>INT-01-TC60</t>
  </si>
  <si>
    <t>1. Send GET /api/v1/jobs/{id}/ai-interview-config without an Authorization header.
2. Send the same request with a valid token of a role that is not allowed (e.g. Candidate calling a staff API).</t>
  </si>
  <si>
    <t>INT-01-TC61</t>
  </si>
  <si>
    <t>1. Log in as Recruiter of tenant B.
2. Send GET /api/v1/jobs/{id}/ai-interview-config using a resource ID that belongs to tenant A, with header X-Tenant-ID = tenant A.
3. Open the related list screen of tenant B.</t>
  </si>
  <si>
    <t>Ticket (POST /api/v1/ai-interviews/{id}/conversation/voice-ticket)</t>
  </si>
  <si>
    <t>INT-02-TC08</t>
  </si>
  <si>
    <t>Verify ticket succeeds with valid input (POST /api/v1/ai-interviews/{id}/conversation/voice-ticket).</t>
  </si>
  <si>
    <t>1. Log in as Recruiter of tenant A.
2. Send POST /api/v1/ai-interviews/{id}/conversation/voice-ticket with header X-Tenant-ID = tenant A and a valid request body.
3. Check the response and the data shown in the system.</t>
  </si>
  <si>
    <t>Verified by automated tests: AiInterviewCandidateTest, AiInterviewVoiceServiceTest, InterviewConversationControllerTest ...</t>
  </si>
  <si>
    <t>INT-02-TC09</t>
  </si>
  <si>
    <t>Verify ticket rejects invalid input (POST /api/v1/ai-interviews/{id}/conversation/voice-ticket).</t>
  </si>
  <si>
    <t>1. Log in as Recruiter of tenant A.
2. Send POST /api/v1/ai-interviews/{id}/conversation/voice-ticket with header X-Tenant-ID = tenant A with missing required fields or invalid values (empty text, wrong format, out-of-range numbers, non-existing IDs).
3. Check the response and the data in the system.</t>
  </si>
  <si>
    <t>Speech (POST /api/v1/ai-interviews/{id}/conversation/messages/{id}/speech)</t>
  </si>
  <si>
    <t>INT-02-TC10</t>
  </si>
  <si>
    <t>Verify speech succeeds with valid input (POST /api/v1/ai-interviews/{id}/conversation/messages/{id}/speech).</t>
  </si>
  <si>
    <t>1. Log in as Recruiter of tenant A.
2. Send POST /api/v1/ai-interviews/{id}/conversation/messages/{id}/speech with header X-Tenant-ID = tenant A and a valid request body.
3. Check the response and the data shown in the system.</t>
  </si>
  <si>
    <t>INT-02-TC11</t>
  </si>
  <si>
    <t>Verify speech rejects invalid input (POST /api/v1/ai-interviews/{id}/conversation/messages/{id}/speech).</t>
  </si>
  <si>
    <t>1. Log in as Recruiter of tenant A.
2. Send POST /api/v1/ai-interviews/{id}/conversation/messages/{id}/speech with header X-Tenant-ID = tenant A with missing required fields or invalid values (empty text, wrong format, out-of-range numbers, non-existing IDs).
3. Check the response and the data in the system.</t>
  </si>
  <si>
    <t>Recording (POST /api/v1/ai-interviews/{id}/conversation/messages/{id}/recording)</t>
  </si>
  <si>
    <t>INT-02-TC12</t>
  </si>
  <si>
    <t>Verify recording succeeds with valid input (POST /api/v1/ai-interviews/{id}/conversation/messages/{id}/recording).</t>
  </si>
  <si>
    <t>1. Log in as Recruiter of tenant A.
2. Send POST /api/v1/ai-interviews/{id}/conversation/messages/{id}/recording with header X-Tenant-ID = tenant A and a valid request body.
3. Check the response and the data shown in the system.</t>
  </si>
  <si>
    <t>INT-02-TC13</t>
  </si>
  <si>
    <t>Verify recording rejects invalid input (POST /api/v1/ai-interviews/{id}/conversation/messages/{id}/recording).</t>
  </si>
  <si>
    <t>1. Log in as Recruiter of tenant A.
2. Send POST /api/v1/ai-interviews/{id}/conversation/messages/{id}/recording with header X-Tenant-ID = tenant A with missing required fields or invalid values (empty text, wrong format, out-of-range numbers, non-existing IDs).
3. Check the response and the data in the system.</t>
  </si>
  <si>
    <t>Recording (GET /api/v1/ai-interviews/{id}/conversation/messages/{id}/recording)</t>
  </si>
  <si>
    <t>INT-02-TC14</t>
  </si>
  <si>
    <t>Verify recording succeeds with valid input (GET /api/v1/ai-interviews/{id}/conversation/messages/{id}/recording).</t>
  </si>
  <si>
    <t>1. Log in as Recruiter of tenant A.
2. Send GET /api/v1/ai-interviews/{id}/conversation/messages/{id}/recording with header X-Tenant-ID = tenant A.
3. Check the response and the data shown in the system.</t>
  </si>
  <si>
    <t>Consent (POST /api/v1/ai-interviews/{id}/voice/consent)</t>
  </si>
  <si>
    <t>INT-02-TC15</t>
  </si>
  <si>
    <t>Verify consent succeeds with valid input (POST /api/v1/ai-interviews/{id}/voice/consent).</t>
  </si>
  <si>
    <t>1. Log in as Recruiter of tenant A.
2. Send POST /api/v1/ai-interviews/{id}/voice/consent with header X-Tenant-ID = tenant A and a valid request body.
3. Check the response and the data shown in the system.</t>
  </si>
  <si>
    <t>INT-02-TC16</t>
  </si>
  <si>
    <t>Verify consent rejects invalid input (POST /api/v1/ai-interviews/{id}/voice/consent).</t>
  </si>
  <si>
    <t>1. Log in as Recruiter of tenant A.
2. Send POST /api/v1/ai-interviews/{id}/voice/consent with header X-Tenant-ID = tenant A with missing required fields or invalid values (empty text, wrong format, out-of-range numbers, non-existing IDs).
3. Check the response and the data in the system.</t>
  </si>
  <si>
    <t>Transcript (POST /api/v1/ai-interviews/{id}/questions/{id}/audio-answer)</t>
  </si>
  <si>
    <t>INT-02-TC17</t>
  </si>
  <si>
    <t>Verify transcript succeeds with valid input (POST /api/v1/ai-interviews/{id}/questions/{id}/audio-answer).</t>
  </si>
  <si>
    <t>1. Log in as Recruiter of tenant A.
2. Send POST /api/v1/ai-interviews/{id}/questions/{id}/audio-answer with header X-Tenant-ID = tenant A and a valid request body.
3. Check the response and the data shown in the system.</t>
  </si>
  <si>
    <t>INT-02-TC18</t>
  </si>
  <si>
    <t>Verify transcript rejects invalid input (POST /api/v1/ai-interviews/{id}/questions/{id}/audio-answer).</t>
  </si>
  <si>
    <t>1. Log in as Recruiter of tenant A.
2. Send POST /api/v1/ai-interviews/{id}/questions/{id}/audio-answer with header X-Tenant-ID = tenant A with missing required fields or invalid values (empty text, wrong format, out-of-range numbers, non-existing IDs).
3. Check the response and the data in the system.</t>
  </si>
  <si>
    <t>INT-02-TC19</t>
  </si>
  <si>
    <t>INT-02-TC20</t>
  </si>
  <si>
    <t>Completion (GET /api/v1/ai-interviews/{id}/answers/{id}/recording/info)</t>
  </si>
  <si>
    <t>INT-02-TC21</t>
  </si>
  <si>
    <t>Verify completion succeeds with valid input (GET /api/v1/ai-interviews/{id}/answers/{id}/recording/info).</t>
  </si>
  <si>
    <t>1. Log in as Recruiter of tenant A.
2. Send GET /api/v1/ai-interviews/{id}/answers/{id}/recording/info with header X-Tenant-ID = tenant A.
3. Check the response and the data shown in the system.</t>
  </si>
  <si>
    <t>Completion (GET /api/v1/ai-interviews/{id}/answers/{id}/recording/audio)</t>
  </si>
  <si>
    <t>INT-02-TC22</t>
  </si>
  <si>
    <t>Verify completion succeeds with valid input (GET /api/v1/ai-interviews/{id}/answers/{id}/recording/audio).</t>
  </si>
  <si>
    <t>1. Log in as Recruiter of tenant A.
2. Send GET /api/v1/ai-interviews/{id}/answers/{id}/recording/audio with header X-Tenant-ID = tenant A.
3. Check the response and the data shown in the system.</t>
  </si>
  <si>
    <t>INT-02-TC23</t>
  </si>
  <si>
    <t>1. Send POST /api/v1/ai-interviews/{id}/conversation/voice-ticket without an Authorization header.
2. Send the same request with a valid token of a role that is not allowed (e.g. Candidate calling a staff API).</t>
  </si>
  <si>
    <t>INT-02-TC24</t>
  </si>
  <si>
    <t>1. Log in as Recruiter of tenant B.
2. Send POST /api/v1/ai-interviews/{id}/conversation/voice-ticket using a resource ID that belongs to tenant A, with header X-Tenant-ID = tenant A.
3. Open the related list screen of tenant B.</t>
  </si>
  <si>
    <t>INT-03-TC06</t>
  </si>
  <si>
    <t>INT-03-TC07</t>
  </si>
  <si>
    <t>INT-03-TC08</t>
  </si>
  <si>
    <t>INT-03-TC09</t>
  </si>
  <si>
    <t>1. Send PUT /api/v1/ai-interviews/{id}/questions/{id}/answer without an Authorization header.
2. Send the same request with a valid token of a role that is not allowed (e.g. Candidate calling a staff API).</t>
  </si>
  <si>
    <t>INT-03-TC10</t>
  </si>
  <si>
    <t>1. Log in as Recruiter of tenant B.
2. Send PUT /api/v1/ai-interviews/{id}/questions/{id}/answer using a resource ID that belongs to tenant A, with header X-Tenant-ID = tenant A.
3. Open the related list screen of tenant B.</t>
  </si>
  <si>
    <t>INT-04-TC09</t>
  </si>
  <si>
    <t>Verified by automated tests: AiInterviewCandidateTest, AiInterviewVoiceServiceTest, RabbitMqConfigTest ...</t>
  </si>
  <si>
    <t>INT-04-TC10</t>
  </si>
  <si>
    <t>INT-04-TC11</t>
  </si>
  <si>
    <t>INT-04-TC12</t>
  </si>
  <si>
    <t>Attempt (POST /api/v1/ai-interviews/{id}/score)</t>
  </si>
  <si>
    <t>INT-04-TC13</t>
  </si>
  <si>
    <t>Verify attempt succeeds with valid input (POST /api/v1/ai-interviews/{id}/score).</t>
  </si>
  <si>
    <t>1. Log in as Recruiter of tenant A.
2. Send POST /api/v1/ai-interviews/{id}/score with header X-Tenant-ID = tenant A and a valid request body.
3. Check the response and the data shown in the system.</t>
  </si>
  <si>
    <t>INT-04-TC14</t>
  </si>
  <si>
    <t>Verify attempt rejects invalid input (POST /api/v1/ai-interviews/{id}/score).</t>
  </si>
  <si>
    <t>1. Log in as Recruiter of tenant A.
2. Send POST /api/v1/ai-interviews/{id}/score with header X-Tenant-ID = tenant A with missing required fields or invalid values (empty text, wrong format, out-of-range numbers, non-existing IDs).
3. Check the response and the data in the system.</t>
  </si>
  <si>
    <t>INT-04-TC15</t>
  </si>
  <si>
    <t>1. Send POST /api/v1/ai-interviews/{id}/complete without an Authorization header.
2. Send the same request with a valid token of a role that is not allowed (e.g. Candidate calling a staff API).</t>
  </si>
  <si>
    <t>INT-04-TC16</t>
  </si>
  <si>
    <t>1. Log in as Recruiter of tenant B.
2. Send POST /api/v1/ai-interviews/{id}/complete using a resource ID that belongs to tenant A, with header X-Tenant-ID = tenant A.
3. Open the related list screen of tenant B.</t>
  </si>
  <si>
    <t>Answer (PUT /api/v1/ai-interviews/{id}/answers/{id}/feedback)</t>
  </si>
  <si>
    <t>INT-05-TC03</t>
  </si>
  <si>
    <t>Verify answer succeeds with valid input (PUT /api/v1/ai-interviews/{id}/answers/{id}/feedback).</t>
  </si>
  <si>
    <t>1. Log in as Recruiter of tenant A.
2. Send PUT /api/v1/ai-interviews/{id}/answers/{id}/feedback with header X-Tenant-ID = tenant A and a valid request body.
3. Check the response and the data shown in the system.</t>
  </si>
  <si>
    <t>INT-05-TC04</t>
  </si>
  <si>
    <t>Verify answer rejects invalid input (PUT /api/v1/ai-interviews/{id}/answers/{id}/feedback).</t>
  </si>
  <si>
    <t>1. Log in as Recruiter of tenant A.
2. Send PUT /api/v1/ai-interviews/{id}/answers/{id}/feedback with header X-Tenant-ID = tenant A with missing required fields or invalid values (empty text, wrong format, out-of-range numbers, non-existing IDs).
3. Check the response and the data in the system.</t>
  </si>
  <si>
    <t>GET /api/v1/interviews/{id}/feedback (GET /api/v1/interviews/{id}/feedback)</t>
  </si>
  <si>
    <t>INT-05-TC05</t>
  </si>
  <si>
    <t>Verify get /api/v1/interviews/{id}/feedback succeeds with valid input (GET /api/v1/interviews/{id}/feedback).</t>
  </si>
  <si>
    <t>1. Log in as Recruiter of tenant A.
2. Send GET /api/v1/interviews/{id}/feedback with header X-Tenant-ID = tenant A.
3. Check the response and the data shown in the system.</t>
  </si>
  <si>
    <t>POST /api/v1/interviews/{id}/feedback/share (POST /api/v1/interviews/{id}/feedback/share)</t>
  </si>
  <si>
    <t>INT-05-TC06</t>
  </si>
  <si>
    <t>Verify post /api/v1/interviews/{id}/feedback/share succeeds with valid input (POST /api/v1/interviews/{id}/feedback/share).</t>
  </si>
  <si>
    <t>1. Log in as Recruiter of tenant A.
2. Send POST /api/v1/interviews/{id}/feedback/share with header X-Tenant-ID = tenant A and a valid request body.
3. Check the response and the data shown in the system.</t>
  </si>
  <si>
    <t>INT-05-TC07</t>
  </si>
  <si>
    <t>Verify post /api/v1/interviews/{id}/feedback/share rejects invalid input (POST /api/v1/interviews/{id}/feedback/share).</t>
  </si>
  <si>
    <t>1. Log in as Recruiter of tenant A.
2. Send POST /api/v1/interviews/{id}/feedback/share with header X-Tenant-ID = tenant A with missing required fields or invalid values (empty text, wrong format, out-of-range numbers, non-existing IDs).
3. Check the response and the data in the system.</t>
  </si>
  <si>
    <t>INT-05-TC08</t>
  </si>
  <si>
    <t>1. Send PUT /api/v1/ai-interviews/{id}/answers/{id}/feedback without an Authorization header.
2. Send the same request with a valid token of a role that is not allowed (e.g. Candidate calling a staff API).</t>
  </si>
  <si>
    <t>INT-05-TC09</t>
  </si>
  <si>
    <t>1. Log in as Recruiter of tenant B.
2. Send PUT /api/v1/ai-interviews/{id}/answers/{id}/feedback using a resource ID that belongs to tenant A, with header X-Tenant-ID = tenant A.
3. Open the related list screen of tenant B.</t>
  </si>
  <si>
    <t>Business rules</t>
  </si>
  <si>
    <t>JOB-01-TC01</t>
  </si>
  <si>
    <t>Verify only staff of the same tenant can manage a job.</t>
  </si>
  <si>
    <t>1. Log in as Recruiter of tenant A and open a job of tenant A, edit the title and save.
2. Log in as Candidate of tenant A and send PUT /api/v1/jobs/{id} for the same job.
3. Log in as Recruiter of tenant B and send PUT /api/v1/jobs/{id} with the tenant A job ID.</t>
  </si>
  <si>
    <t>Step 1: the job is updated.
Step 2: HTTP 403, code FORBIDDEN.
Step 3: HTTP 404; the tenant A job is not changed.</t>
  </si>
  <si>
    <t>Tenant A has a DRAFT job created by the Recruiter. Tenant B is ACTIVE.</t>
  </si>
  <si>
    <t>12/10/2026</t>
  </si>
  <si>
    <t>Verified by automated tests: ApplicantServiceTest, CandidateEvaluationServiceTest, JobExpiryRabbitMQIntegrationTest ...</t>
  </si>
  <si>
    <t>JOB-01-TC02</t>
  </si>
  <si>
    <t>Verify deleting a job with applicants is a soft delete.</t>
  </si>
  <si>
    <t>1. Log in as the job owner (Recruiter) of tenant A.
2. Delete a job that already has applications.
3. Check the job list, the job status and the applications of that job.</t>
  </si>
  <si>
    <t>The job is not removed from the database: status becomes ARCHIVED and deleted_at is set.
The job disappears from the active job list.
Open applications of the job are closed as REJECTED; their history is kept.</t>
  </si>
  <si>
    <t>The job has at least one application in NEW or IN_REVIEW.</t>
  </si>
  <si>
    <t>JOB-01-TC03</t>
  </si>
  <si>
    <t>Verify CV screening weights and gate screening weights are applied independently.</t>
  </si>
  <si>
    <t>1. Create a job with CV weights (skill 40, preferred 8, experience 12, education 0, jaccard 15, semantic 25) and gate weights (CV 40, AI Interview 35, Assessment 25).
2. Submit a CV and let the AI screen it.
3. Complete the AI interview and assessment for the candidate.
4. View the candidate scores on the job.</t>
  </si>
  <si>
    <t>The CV score is calculated only from the CV weights.
The overall (gate) score combines only CV score, AI Interview score and Assessment score using the gate weights.</t>
  </si>
  <si>
    <t>AI screening is enabled for the tenant; a candidate account exists.</t>
  </si>
  <si>
    <t>JOB-01-TC04</t>
  </si>
  <si>
    <t>Verify invalid screening weights and thresholds are rejected (boundary values).</t>
  </si>
  <si>
    <t>1. Log in as Recruiter of tenant A.
2. Save a job with one CV weight = -1.
3. Save with a missing weight field.
4. Save with weights totalling 99 and then 101.
5. Save with pass threshold = -1, 101, then 0 and 100.</t>
  </si>
  <si>
    <t>Step 2: HTTP 400, code SCREENING_WEIGHT_NEGATIVE.
Step 3: HTTP 400, code SCREENING_WEIGHT_REQUIRED.
Step 4: HTTP 400, code SCREENING_WEIGHT_SUM.
Step 5: -1 and 101 return HTTP 400, code SCREENING_THRESHOLD_RANGE; 0 and 100 are saved.</t>
  </si>
  <si>
    <t>Recruiter has permission to create jobs.</t>
  </si>
  <si>
    <t>JOB-01-TC05</t>
  </si>
  <si>
    <t>Verify legacy jobs keep the default screening formula and can be changed later.</t>
  </si>
  <si>
    <t>1. Open a job created before migration V13.
2. View its screening configuration.
3. Change the CV weights and save.</t>
  </si>
  <si>
    <t>Step 2: CV weights are 40/8/12/0/15/25 with pass threshold 60; gate weights are 40/35/25 with threshold 70.
Step 3: the new weights are saved and used for later scoring.</t>
  </si>
  <si>
    <t>The tenant database contains a job created before migration V13.</t>
  </si>
  <si>
    <t>Search (GET /api/v1/jobs)</t>
  </si>
  <si>
    <t>JOB-01-TC06</t>
  </si>
  <si>
    <t>Verify search succeeds with valid input (GET /api/v1/jobs).</t>
  </si>
  <si>
    <t>1. Log in as Recruiter of tenant A.
2. Send GET /api/v1/jobs with header X-Tenant-ID = tenant A.
3. Check the response and the data shown in the system.</t>
  </si>
  <si>
    <t>Departments (GET /api/v1/jobs/departments)</t>
  </si>
  <si>
    <t>JOB-01-TC07</t>
  </si>
  <si>
    <t>Verify departments succeeds with valid input (GET /api/v1/jobs/departments).</t>
  </si>
  <si>
    <t>1. Log in as Recruiter of tenant A.
2. Send GET /api/v1/jobs/departments with header X-Tenant-ID = tenant A.
3. Check the response and the data shown in the system.</t>
  </si>
  <si>
    <t>Create (POST /api/v1/jobs)</t>
  </si>
  <si>
    <t>JOB-01-TC08</t>
  </si>
  <si>
    <t>Verify create succeeds with valid input (POST /api/v1/jobs).</t>
  </si>
  <si>
    <t>1. Log in as Recruiter of tenant A.
2. Send POST /api/v1/jobs with header X-Tenant-ID = tenant A and a valid request body.
3. Check the response and the data shown in the system.</t>
  </si>
  <si>
    <t>JOB-01-TC09</t>
  </si>
  <si>
    <t>Verify create rejects invalid input (POST /api/v1/jobs).</t>
  </si>
  <si>
    <t>1. Log in as Recruiter of tenant A.
2. Send POST /api/v1/jobs with header X-Tenant-ID = tenant A with missing required fields or invalid values (empty text, wrong format, out-of-range numbers, non-existing IDs).
3. Check the response and the data in the system.</t>
  </si>
  <si>
    <t>Get (GET /api/v1/jobs/{id})</t>
  </si>
  <si>
    <t>JOB-01-TC10</t>
  </si>
  <si>
    <t>Verify get succeeds with valid input (GET /api/v1/jobs/{id}).</t>
  </si>
  <si>
    <t>1. Log in as Recruiter of tenant A.
2. Send GET /api/v1/jobs/{id} with header X-Tenant-ID = tenant A.
3. Check the response and the data shown in the system.</t>
  </si>
  <si>
    <t>Update (PUT /api/v1/jobs/{id})</t>
  </si>
  <si>
    <t>JOB-01-TC11</t>
  </si>
  <si>
    <t>Verify update succeeds with valid input (PUT /api/v1/jobs/{id}).</t>
  </si>
  <si>
    <t>1. Log in as Recruiter of tenant A.
2. Send PUT /api/v1/jobs/{id} with header X-Tenant-ID = tenant A and a valid request body.
3. Check the response and the data shown in the system.</t>
  </si>
  <si>
    <t>JOB-01-TC12</t>
  </si>
  <si>
    <t>Verify update rejects invalid input (PUT /api/v1/jobs/{id}).</t>
  </si>
  <si>
    <t>1. Log in as Recruiter of tenant A.
2. Send PUT /api/v1/jobs/{id} with header X-Tenant-ID = tenant A with missing required fields or invalid values (empty text, wrong format, out-of-range numbers, non-existing IDs).
3. Check the response and the data in the system.</t>
  </si>
  <si>
    <t>Delete (DELETE /api/v1/jobs/{id})</t>
  </si>
  <si>
    <t>JOB-01-TC13</t>
  </si>
  <si>
    <t>Verify delete succeeds with valid input (DELETE /api/v1/jobs/{id}).</t>
  </si>
  <si>
    <t>1. Log in as Recruiter of tenant A.
2. Send DELETE /api/v1/jobs/{id} with header X-Tenant-ID = tenant A.
3. Check the response and the data shown in the system.</t>
  </si>
  <si>
    <t>JOB-01-TC14</t>
  </si>
  <si>
    <t>Verify delete rejects invalid input (DELETE /api/v1/jobs/{id}).</t>
  </si>
  <si>
    <t>1. Log in as Recruiter of tenant A.
2. Send DELETE /api/v1/jobs/{id} with header X-Tenant-ID = tenant A with missing required fields or invalid values (empty text, wrong format, out-of-range numbers, non-existing IDs).
3. Check the response and the data in the system.</t>
  </si>
  <si>
    <t>Clone (POST /api/v1/jobs/{id}/clone)</t>
  </si>
  <si>
    <t>JOB-01-TC15</t>
  </si>
  <si>
    <t>Verify clone succeeds with valid input (POST /api/v1/jobs/{id}/clone).</t>
  </si>
  <si>
    <t>1. Log in as Recruiter of tenant A.
2. Send POST /api/v1/jobs/{id}/clone with header X-Tenant-ID = tenant A and a valid request body.
3. Check the response and the data shown in the system.</t>
  </si>
  <si>
    <t>JOB-01-TC16</t>
  </si>
  <si>
    <t>Verify clone rejects invalid input (POST /api/v1/jobs/{id}/clone).</t>
  </si>
  <si>
    <t>1. Log in as Recruiter of tenant A.
2. Send POST /api/v1/jobs/{id}/clone with header X-Tenant-ID = tenant A with missing required fields or invalid values (empty text, wrong format, out-of-range numbers, non-existing IDs).
3. Check the response and the data in the system.</t>
  </si>
  <si>
    <t>Create quick (POST /api/v1/jobs/quick)</t>
  </si>
  <si>
    <t>JOB-01-TC17</t>
  </si>
  <si>
    <t>Verify create quick succeeds with valid input (POST /api/v1/jobs/quick).</t>
  </si>
  <si>
    <t>1. Log in as Recruiter of tenant A.
2. Send POST /api/v1/jobs/quick with header X-Tenant-ID = tenant A and a valid request body.
3. Check the response and the data shown in the system.</t>
  </si>
  <si>
    <t>JOB-01-TC18</t>
  </si>
  <si>
    <t>Verify create quick rejects invalid input (POST /api/v1/jobs/quick).</t>
  </si>
  <si>
    <t>1. Log in as Recruiter of tenant A.
2. Send POST /api/v1/jobs/quick with header X-Tenant-ID = tenant A with missing required fields or invalid values (empty text, wrong format, out-of-range numbers, non-existing IDs).
3. Check the response and the data in the system.</t>
  </si>
  <si>
    <t>JOB-01-TC19</t>
  </si>
  <si>
    <t>JOB-01-TC20</t>
  </si>
  <si>
    <t>JOB-01-TC21</t>
  </si>
  <si>
    <t>1. Send GET /api/v1/jobs without an Authorization header.
2. Send the same request with a valid token of a role that is not allowed (e.g. Candidate calling a staff API).</t>
  </si>
  <si>
    <t>JOB-01-TC22</t>
  </si>
  <si>
    <t>1. Log in as Recruiter of tenant B.
2. Send GET /api/v1/jobs/{id} using a resource ID that belongs to tenant A, with header X-Tenant-ID = tenant A.
3. Open the related list screen of tenant B.</t>
  </si>
  <si>
    <t>Publish (POST /api/v1/jobs/{id}/publish)</t>
  </si>
  <si>
    <t>JOB-02-TC04</t>
  </si>
  <si>
    <t>Verify publish succeeds with valid input (POST /api/v1/jobs/{id}/publish).</t>
  </si>
  <si>
    <t>1. Log in as Admin of tenant A.
2. Send POST /api/v1/jobs/{id}/publish with header X-Tenant-ID = tenant A and a valid request body.
3. Check the response and the data shown in the system.</t>
  </si>
  <si>
    <t>JOB-02-TC05</t>
  </si>
  <si>
    <t>Verify publish rejects invalid input (POST /api/v1/jobs/{id}/publish).</t>
  </si>
  <si>
    <t>1. Log in as Admin of tenant A.
2. Send POST /api/v1/jobs/{id}/publish with header X-Tenant-ID = tenant A with missing required fields or invalid values (empty text, wrong format, out-of-range numbers, non-existing IDs).
3. Check the response and the data in the system.</t>
  </si>
  <si>
    <t>Unpublish (POST /api/v1/jobs/{id}/unpublish)</t>
  </si>
  <si>
    <t>JOB-02-TC06</t>
  </si>
  <si>
    <t>Verify unpublish succeeds with valid input (POST /api/v1/jobs/{id}/unpublish).</t>
  </si>
  <si>
    <t>1. Log in as Admin of tenant A.
2. Send POST /api/v1/jobs/{id}/unpublish with header X-Tenant-ID = tenant A and a valid request body.
3. Check the response and the data shown in the system.</t>
  </si>
  <si>
    <t>JOB-02-TC07</t>
  </si>
  <si>
    <t>Verify unpublish rejects invalid input (POST /api/v1/jobs/{id}/unpublish).</t>
  </si>
  <si>
    <t>1. Log in as Admin of tenant A.
2. Send POST /api/v1/jobs/{id}/unpublish with header X-Tenant-ID = tenant A with missing required fields or invalid values (empty text, wrong format, out-of-range numbers, non-existing IDs).
3. Check the response and the data in the system.</t>
  </si>
  <si>
    <t>Pause (POST /api/v1/jobs/{id}/pause)</t>
  </si>
  <si>
    <t>JOB-02-TC08</t>
  </si>
  <si>
    <t>Verify pause succeeds with valid input (POST /api/v1/jobs/{id}/pause).</t>
  </si>
  <si>
    <t>1. Log in as Admin of tenant A.
2. Send POST /api/v1/jobs/{id}/pause with header X-Tenant-ID = tenant A and a valid request body.
3. Check the response and the data shown in the system.</t>
  </si>
  <si>
    <t>JOB-02-TC09</t>
  </si>
  <si>
    <t>Verify pause rejects invalid input (POST /api/v1/jobs/{id}/pause).</t>
  </si>
  <si>
    <t>1. Log in as Admin of tenant A.
2. Send POST /api/v1/jobs/{id}/pause with header X-Tenant-ID = tenant A with missing required fields or invalid values (empty text, wrong format, out-of-range numbers, non-existing IDs).
3. Check the response and the data in the system.</t>
  </si>
  <si>
    <t>Close (POST /api/v1/jobs/{id}/close)</t>
  </si>
  <si>
    <t>JOB-02-TC10</t>
  </si>
  <si>
    <t>Verify close succeeds with valid input (POST /api/v1/jobs/{id}/close).</t>
  </si>
  <si>
    <t>1. Log in as Admin of tenant A.
2. Send POST /api/v1/jobs/{id}/close with header X-Tenant-ID = tenant A and a valid request body.
3. Check the response and the data shown in the system.</t>
  </si>
  <si>
    <t>JOB-02-TC11</t>
  </si>
  <si>
    <t>Verify close rejects invalid input (POST /api/v1/jobs/{id}/close).</t>
  </si>
  <si>
    <t>1. Log in as Admin of tenant A.
2. Send POST /api/v1/jobs/{id}/close with header X-Tenant-ID = tenant A with missing required fields or invalid values (empty text, wrong format, out-of-range numbers, non-existing IDs).
3. Check the response and the data in the system.</t>
  </si>
  <si>
    <t>Reopen (POST /api/v1/jobs/{id}/reopen)</t>
  </si>
  <si>
    <t>JOB-02-TC12</t>
  </si>
  <si>
    <t>Verify reopen succeeds with valid input (POST /api/v1/jobs/{id}/reopen).</t>
  </si>
  <si>
    <t>1. Log in as Admin of tenant A.
2. Send POST /api/v1/jobs/{id}/reopen with header X-Tenant-ID = tenant A and a valid request body.
3. Check the response and the data shown in the system.</t>
  </si>
  <si>
    <t>JOB-02-TC13</t>
  </si>
  <si>
    <t>Verify reopen rejects invalid input (POST /api/v1/jobs/{id}/reopen).</t>
  </si>
  <si>
    <t>1. Log in as Admin of tenant A.
2. Send POST /api/v1/jobs/{id}/reopen with header X-Tenant-ID = tenant A with missing required fields or invalid values (empty text, wrong format, out-of-range numbers, non-existing IDs).
3. Check the response and the data in the system.</t>
  </si>
  <si>
    <t>JOB-02-TC14</t>
  </si>
  <si>
    <t>1. Log in as Admin of tenant A.
2. Send GET /api/v1/jobs/published with header X-Tenant-ID = tenant A.
3. Check the response and the data shown in the system.</t>
  </si>
  <si>
    <t>List (GET /api/v1/public/jobs)</t>
  </si>
  <si>
    <t>JOB-02-TC15</t>
  </si>
  <si>
    <t>Verify list succeeds with valid input (GET /api/v1/public/jobs).</t>
  </si>
  <si>
    <t>1. Do not log in (public endpoint).
2. Send GET /api/v1/public/jobs.
3. Check the response and the data shown in the system.</t>
  </si>
  <si>
    <t>JOB-02-TC16</t>
  </si>
  <si>
    <t>JOB-02-TC17</t>
  </si>
  <si>
    <t>1. Send POST /api/v1/jobs/{id}/publish without an Authorization header.
2. Send the same request with a valid token of a role that is not allowed (e.g. Candidate calling a staff API).</t>
  </si>
  <si>
    <t>JOB-02-TC18</t>
  </si>
  <si>
    <t>1. Log in as Admin of tenant B.
2. Send POST /api/v1/jobs/{id}/publish using a resource ID that belongs to tenant A, with header X-Tenant-ID = tenant A.
3. Open the related list screen of tenant B.</t>
  </si>
  <si>
    <t>Replace skills (PUT /api/v1/jobs/{id}/skills)</t>
  </si>
  <si>
    <t>JOB-03-TC03</t>
  </si>
  <si>
    <t>Verify replace skills succeeds with valid input (PUT /api/v1/jobs/{id}/skills).</t>
  </si>
  <si>
    <t>1. Log in as Recruiter of tenant A.
2. Send PUT /api/v1/jobs/{id}/skills with header X-Tenant-ID = tenant A and a valid request body.
3. Check the response and the data shown in the system.</t>
  </si>
  <si>
    <t>JOB-03-TC04</t>
  </si>
  <si>
    <t>Verify replace skills rejects invalid input (PUT /api/v1/jobs/{id}/skills).</t>
  </si>
  <si>
    <t>1. Log in as Recruiter of tenant A.
2. Send PUT /api/v1/jobs/{id}/skills with header X-Tenant-ID = tenant A with missing required fields or invalid values (empty text, wrong format, out-of-range numbers, non-existing IDs).
3. Check the response and the data in the system.</t>
  </si>
  <si>
    <t>Skills (GET /api/v1/jobs/{id}/skills)</t>
  </si>
  <si>
    <t>JOB-03-TC05</t>
  </si>
  <si>
    <t>Verify skills succeeds with valid input (GET /api/v1/jobs/{id}/skills).</t>
  </si>
  <si>
    <t>1. Log in as Recruiter of tenant A.
2. Send GET /api/v1/jobs/{id}/skills with header X-Tenant-ID = tenant A.
3. Check the response and the data shown in the system.</t>
  </si>
  <si>
    <t>JOB-03-TC06</t>
  </si>
  <si>
    <t>1. Send PUT /api/v1/jobs/{id}/skills without an Authorization header.
2. Send the same request with a valid token of a role that is not allowed (e.g. Candidate calling a staff API).</t>
  </si>
  <si>
    <t>JOB-03-TC07</t>
  </si>
  <si>
    <t>1. Log in as Recruiter of tenant B.
2. Send PUT /api/v1/jobs/{id}/skills using a resource ID that belongs to tenant A, with header X-Tenant-ID = tenant A.
3. Open the related list screen of tenant B.</t>
  </si>
  <si>
    <t>Stages (GET /api/v1/jobs/{id}/stages)</t>
  </si>
  <si>
    <t>JOB-04-TC05</t>
  </si>
  <si>
    <t>Verify stages succeeds with valid input (GET /api/v1/jobs/{id}/stages).</t>
  </si>
  <si>
    <t>1. Log in as Admin of tenant A.
2. Send GET /api/v1/jobs/{id}/stages with header X-Tenant-ID = tenant A.
3. Check the response and the data shown in the system.</t>
  </si>
  <si>
    <t>Replace stages (PUT /api/v1/jobs/{id}/stages)</t>
  </si>
  <si>
    <t>JOB-04-TC06</t>
  </si>
  <si>
    <t>Verify replace stages succeeds with valid input (PUT /api/v1/jobs/{id}/stages).</t>
  </si>
  <si>
    <t>1. Log in as Admin of tenant A.
2. Send PUT /api/v1/jobs/{id}/stages with header X-Tenant-ID = tenant A and a valid request body.
3. Check the response and the data shown in the system.</t>
  </si>
  <si>
    <t>JOB-04-TC07</t>
  </si>
  <si>
    <t>Verify replace stages rejects invalid input (PUT /api/v1/jobs/{id}/stages).</t>
  </si>
  <si>
    <t>1. Log in as Admin of tenant A.
2. Send PUT /api/v1/jobs/{id}/stages with header X-Tenant-ID = tenant A with missing required fields or invalid values (empty text, wrong format, out-of-range numbers, non-existing IDs).
3. Check the response and the data in the system.</t>
  </si>
  <si>
    <t>JOB-04-TC08</t>
  </si>
  <si>
    <t>1. Send GET /api/v1/jobs/{id}/stages without an Authorization header.
2. Send the same request with a valid token of a role that is not allowed (e.g. Candidate calling a staff API).</t>
  </si>
  <si>
    <t>JOB-04-TC09</t>
  </si>
  <si>
    <t>1. Log in as Admin of tenant B.
2. Send GET /api/v1/jobs/{id}/stages using a resource ID that belongs to tenant A, with header X-Tenant-ID = tenant A.
3. Open the related list screen of tenant B.</t>
  </si>
  <si>
    <t>Apply (POST /api/v1/jobs/{id}/applications)</t>
  </si>
  <si>
    <t>JOB-05-TC09</t>
  </si>
  <si>
    <t>Verify apply succeeds with valid input (POST /api/v1/jobs/{id}/applications).</t>
  </si>
  <si>
    <t>1. Log in as Admin of tenant A.
2. Send POST /api/v1/jobs/{id}/applications with header X-Tenant-ID = tenant A and a valid request body.
3. Check the response and the data shown in the system.</t>
  </si>
  <si>
    <t>JOB-05-TC10</t>
  </si>
  <si>
    <t>Verify apply rejects invalid input (POST /api/v1/jobs/{id}/applications).</t>
  </si>
  <si>
    <t>1. Log in as Admin of tenant A.
2. Send POST /api/v1/jobs/{id}/applications with header X-Tenant-ID = tenant A with missing required fields or invalid values (empty text, wrong format, out-of-range numbers, non-existing IDs).
3. Check the response and the data in the system.</t>
  </si>
  <si>
    <t>List visible (GET /api/v1/applications)</t>
  </si>
  <si>
    <t>JOB-05-TC11</t>
  </si>
  <si>
    <t>Verify list visible succeeds with valid input (GET /api/v1/applications).</t>
  </si>
  <si>
    <t>1. Log in as Admin of tenant A.
2. Send GET /api/v1/applications with header X-Tenant-ID = tenant A.
3. Check the response and the data shown in the system.</t>
  </si>
  <si>
    <t>List (GET /api/v1/jobs/{id}/applications)</t>
  </si>
  <si>
    <t>JOB-05-TC12</t>
  </si>
  <si>
    <t>Verify list succeeds with valid input (GET /api/v1/jobs/{id}/applications).</t>
  </si>
  <si>
    <t>1. Log in as Admin of tenant A.
2. Send GET /api/v1/jobs/{id}/applications with header X-Tenant-ID = tenant A.
3. Check the response and the data shown in the system.</t>
  </si>
  <si>
    <t>Mine (GET /api/v1/applications/me)</t>
  </si>
  <si>
    <t>JOB-05-TC13</t>
  </si>
  <si>
    <t>Verify mine succeeds with valid input (GET /api/v1/applications/me).</t>
  </si>
  <si>
    <t>1. Log in as Admin of tenant A.
2. Send GET /api/v1/applications/me with header X-Tenant-ID = tenant A.
3. Check the response and the data shown in the system.</t>
  </si>
  <si>
    <t>Get (GET /api/v1/applications/{id})</t>
  </si>
  <si>
    <t>JOB-05-TC14</t>
  </si>
  <si>
    <t>Verify get succeeds with valid input (GET /api/v1/applications/{id}).</t>
  </si>
  <si>
    <t>1. Log in as Admin of tenant A.
2. Send GET /api/v1/applications/{id} with header X-Tenant-ID = tenant A.
3. Check the response and the data shown in the system.</t>
  </si>
  <si>
    <t>Patch (PATCH /api/v1/applications/{id})</t>
  </si>
  <si>
    <t>JOB-05-TC15</t>
  </si>
  <si>
    <t>Verify patch succeeds with valid input (PATCH /api/v1/applications/{id}).</t>
  </si>
  <si>
    <t>1. Log in as Admin of tenant A.
2. Send PATCH /api/v1/applications/{id} with header X-Tenant-ID = tenant A and a valid request body.
3. Check the response and the data shown in the system.</t>
  </si>
  <si>
    <t>JOB-05-TC16</t>
  </si>
  <si>
    <t>Verify patch rejects invalid input (PATCH /api/v1/applications/{id}).</t>
  </si>
  <si>
    <t>1. Log in as Admin of tenant A.
2. Send PATCH /api/v1/applications/{id} with header X-Tenant-ID = tenant A with missing required fields or invalid values (empty text, wrong format, out-of-range numbers, non-existing IDs).
3. Check the response and the data in the system.</t>
  </si>
  <si>
    <t>History (GET /api/v1/applications/{id}/history)</t>
  </si>
  <si>
    <t>JOB-05-TC17</t>
  </si>
  <si>
    <t>Verify history succeeds with valid input (GET /api/v1/applications/{id}/history).</t>
  </si>
  <si>
    <t>1. Log in as Admin of tenant A.
2. Send GET /api/v1/applications/{id}/history with header X-Tenant-ID = tenant A.
3. Check the response and the data shown in the system.</t>
  </si>
  <si>
    <t>JOB-05-TC18</t>
  </si>
  <si>
    <t>1. Log in as Admin of tenant A.
2. Send POST /api/v1/cvs/{id}/parse with header X-Tenant-ID = tenant A and a valid request body.
3. Check the response and the data shown in the system.</t>
  </si>
  <si>
    <t>JOB-05-TC19</t>
  </si>
  <si>
    <t>1. Log in as Admin of tenant A.
2. Send POST /api/v1/cvs/{id}/parse with header X-Tenant-ID = tenant A with missing required fields or invalid values (empty text, wrong format, out-of-range numbers, non-existing IDs).
3. Check the response and the data in the system.</t>
  </si>
  <si>
    <t>Submission (GET /api/v1/applications/{id}/evaluation)</t>
  </si>
  <si>
    <t>JOB-05-TC20</t>
  </si>
  <si>
    <t>Verify submission succeeds with valid input (GET /api/v1/applications/{id}/evaluation).</t>
  </si>
  <si>
    <t>1. Log in as Admin of tenant A.
2. Send GET /api/v1/applications/{id}/evaluation with header X-Tenant-ID = tenant A.
3. Check the response and the data shown in the system.</t>
  </si>
  <si>
    <t>JOB-05-TC21</t>
  </si>
  <si>
    <t>1. Log in as Admin of tenant A.
2. Send POST /api/v1/cvs with header X-Tenant-ID = tenant A and a valid request body.
3. Check the response and the data shown in the system.</t>
  </si>
  <si>
    <t>JOB-05-TC22</t>
  </si>
  <si>
    <t>1. Log in as Admin of tenant A.
2. Send POST /api/v1/cvs with header X-Tenant-ID = tenant A with missing required fields or invalid values (empty text, wrong format, out-of-range numbers, non-existing IDs).
3. Check the response and the data in the system.</t>
  </si>
  <si>
    <t>JOB-05-TC23</t>
  </si>
  <si>
    <t>1. Send POST /api/v1/jobs/{id}/applications without an Authorization header.
2. Send the same request with a valid token of a role that is not allowed (e.g. Candidate calling a staff API).</t>
  </si>
  <si>
    <t>JOB-05-TC24</t>
  </si>
  <si>
    <t>1. Log in as Admin of tenant B.
2. Send POST /api/v1/jobs/{id}/applications using a resource ID that belongs to tenant A, with header X-Tenant-ID = tenant A.
3. Open the related list screen of tenant B.</t>
  </si>
  <si>
    <t>JOB-06-TC01</t>
  </si>
  <si>
    <t>Verified by automated tests: JobAssignmentServiceTest, JobExpiryRabbitMQIntegrationTest, JobServiceTest</t>
  </si>
  <si>
    <t>JOB-06-TC02</t>
  </si>
  <si>
    <t>Job (GET /api/v1/jobs/{id}/assignments)</t>
  </si>
  <si>
    <t>JOB-06-TC03</t>
  </si>
  <si>
    <t>Verify job succeeds with valid input (GET /api/v1/jobs/{id}/assignments).</t>
  </si>
  <si>
    <t>1. Log in as Recruiter of tenant A.
2. Send GET /api/v1/jobs/{id}/assignments with header X-Tenant-ID = tenant A.
3. Check the response and the data shown in the system.</t>
  </si>
  <si>
    <t>Job (POST /api/v1/jobs/{id}/assignments)</t>
  </si>
  <si>
    <t>JOB-06-TC04</t>
  </si>
  <si>
    <t>Verify job succeeds with valid input (POST /api/v1/jobs/{id}/assignments).</t>
  </si>
  <si>
    <t>1. Log in as Recruiter of tenant A.
2. Send POST /api/v1/jobs/{id}/assignments with header X-Tenant-ID = tenant A and a valid request body.
3. Check the response and the data shown in the system.</t>
  </si>
  <si>
    <t>JOB-06-TC05</t>
  </si>
  <si>
    <t>Verify job rejects invalid input (POST /api/v1/jobs/{id}/assignments).</t>
  </si>
  <si>
    <t>1. Log in as Recruiter of tenant A.
2. Send POST /api/v1/jobs/{id}/assignments with header X-Tenant-ID = tenant A with missing required fields or invalid values (empty text, wrong format, out-of-range numbers, non-existing IDs).
3. Check the response and the data in the system.</t>
  </si>
  <si>
    <t>Member (PATCH /api/v1/jobs/{id}/assignments/{id})</t>
  </si>
  <si>
    <t>JOB-06-TC06</t>
  </si>
  <si>
    <t>Verify member succeeds with valid input (PATCH /api/v1/jobs/{id}/assignments/{id}).</t>
  </si>
  <si>
    <t>1. Log in as Recruiter of tenant A.
2. Send PATCH /api/v1/jobs/{id}/assignments/{id} with header X-Tenant-ID = tenant A and a valid request body.
3. Check the response and the data shown in the system.</t>
  </si>
  <si>
    <t>JOB-06-TC07</t>
  </si>
  <si>
    <t>Verify member rejects invalid input (PATCH /api/v1/jobs/{id}/assignments/{id}).</t>
  </si>
  <si>
    <t>1. Log in as Recruiter of tenant A.
2. Send PATCH /api/v1/jobs/{id}/assignments/{id} with header X-Tenant-ID = tenant A with missing required fields or invalid values (empty text, wrong format, out-of-range numbers, non-existing IDs).
3. Check the response and the data in the system.</t>
  </si>
  <si>
    <t>Job (DELETE /api/v1/jobs/{id}/assignments/{id})</t>
  </si>
  <si>
    <t>JOB-06-TC08</t>
  </si>
  <si>
    <t>Verify job succeeds with valid input (DELETE /api/v1/jobs/{id}/assignments/{id}).</t>
  </si>
  <si>
    <t>1. Log in as Recruiter of tenant A.
2. Send DELETE /api/v1/jobs/{id}/assignments/{id} with header X-Tenant-ID = tenant A.
3. Check the response and the data shown in the system.</t>
  </si>
  <si>
    <t>JOB-06-TC09</t>
  </si>
  <si>
    <t>Verify job rejects invalid input (DELETE /api/v1/jobs/{id}/assignments/{id}).</t>
  </si>
  <si>
    <t>1. Log in as Recruiter of tenant A.
2. Send DELETE /api/v1/jobs/{id}/assignments/{id} with header X-Tenant-ID = tenant A with missing required fields or invalid values (empty text, wrong format, out-of-range numbers, non-existing IDs).
3. Check the response and the data in the system.</t>
  </si>
  <si>
    <t>JOB-06-TC10</t>
  </si>
  <si>
    <t>JOB-06-TC11</t>
  </si>
  <si>
    <t>POST /api/v1/practice/sessions (POST /api/v1/practice/sessions)</t>
  </si>
  <si>
    <t>PRACT-01-TC03</t>
  </si>
  <si>
    <t>Verify post /api/v1/practice/sessions succeeds with valid input (POST /api/v1/practice/sessions).</t>
  </si>
  <si>
    <t>1. Log in as Candidate of tenant A.
2. Send POST /api/v1/practice/sessions with header X-Tenant-ID = tenant A and a valid request body.
3. Check the response and the data shown in the system.</t>
  </si>
  <si>
    <t>PRACT-01-TC04</t>
  </si>
  <si>
    <t>Verify post /api/v1/practice/sessions rejects invalid input (POST /api/v1/practice/sessions).</t>
  </si>
  <si>
    <t>1. Log in as Candidate of tenant A.
2. Send POST /api/v1/practice/sessions with header X-Tenant-ID = tenant A with missing required fields or invalid values (empty text, wrong format, out-of-range numbers, non-existing IDs).
3. Check the response and the data in the system.</t>
  </si>
  <si>
    <t>POST /api/v1/practice/sessions/{id}/answers (POST /api/v1/practice/sessions/{id}/answers)</t>
  </si>
  <si>
    <t>PRACT-01-TC05</t>
  </si>
  <si>
    <t>Verify post /api/v1/practice/sessions/{id}/answers succeeds with valid input (POST /api/v1/practice/sessions/{id}/answers).</t>
  </si>
  <si>
    <t>1. Log in as Candidate of tenant A.
2. Send POST /api/v1/practice/sessions/{id}/answers with header X-Tenant-ID = tenant A and a valid request body.
3. Check the response and the data shown in the system.</t>
  </si>
  <si>
    <t>PRACT-01-TC06</t>
  </si>
  <si>
    <t>Verify post /api/v1/practice/sessions/{id}/answers rejects invalid input (POST /api/v1/practice/sessions/{id}/answers).</t>
  </si>
  <si>
    <t>1. Log in as Candidate of tenant A.
2. Send POST /api/v1/practice/sessions/{id}/answers with header X-Tenant-ID = tenant A with missing required fields or invalid values (empty text, wrong format, out-of-range numbers, non-existing IDs).
3. Check the response and the data in the system.</t>
  </si>
  <si>
    <t>PRACT-01-TC07</t>
  </si>
  <si>
    <t>1. Send POST /api/v1/practice/sessions without an Authorization header.
2. Send the same request with a valid token of a role that is not allowed (e.g. Candidate calling a staff API).</t>
  </si>
  <si>
    <t>PRACT-01-TC08</t>
  </si>
  <si>
    <t>1. Log in as Candidate of tenant B.
2. Send POST /api/v1/practice/sessions/{id}/answers using a resource ID that belongs to tenant A, with header X-Tenant-ID = tenant A.
3. Open the related list screen of tenant B.</t>
  </si>
  <si>
    <t>POST /api/v1/practice/sessions/{id}/feedback (POST /api/v1/practice/sessions/{id}/feedback)</t>
  </si>
  <si>
    <t>PRACT-02-TC03</t>
  </si>
  <si>
    <t>Verify post /api/v1/practice/sessions/{id}/feedback succeeds with valid input (POST /api/v1/practice/sessions/{id}/feedback).</t>
  </si>
  <si>
    <t>1. Log in as Candidate of tenant A.
2. Send POST /api/v1/practice/sessions/{id}/feedback with header X-Tenant-ID = tenant A and a valid request body.
3. Check the response and the data shown in the system.</t>
  </si>
  <si>
    <t>PRACT-02-TC04</t>
  </si>
  <si>
    <t>Verify post /api/v1/practice/sessions/{id}/feedback rejects invalid input (POST /api/v1/practice/sessions/{id}/feedback).</t>
  </si>
  <si>
    <t>1. Log in as Candidate of tenant A.
2. Send POST /api/v1/practice/sessions/{id}/feedback with header X-Tenant-ID = tenant A with missing required fields or invalid values (empty text, wrong format, out-of-range numbers, non-existing IDs).
3. Check the response and the data in the system.</t>
  </si>
  <si>
    <t>GET /api/v1/practice/sessions/{id}/feedback (GET /api/v1/practice/sessions/{id}/feedback)</t>
  </si>
  <si>
    <t>PRACT-02-TC05</t>
  </si>
  <si>
    <t>Verify get /api/v1/practice/sessions/{id}/feedback succeeds with valid input (GET /api/v1/practice/sessions/{id}/feedback).</t>
  </si>
  <si>
    <t>1. Log in as Candidate of tenant A.
2. Send GET /api/v1/practice/sessions/{id}/feedback with header X-Tenant-ID = tenant A.
3. Check the response and the data shown in the system.</t>
  </si>
  <si>
    <t>PRACT-02-TC06</t>
  </si>
  <si>
    <t>1. Send POST /api/v1/practice/sessions/{id}/feedback without an Authorization header.
2. Send the same request with a valid token of a role that is not allowed (e.g. Candidate calling a staff API).</t>
  </si>
  <si>
    <t>PRACT-02-TC07</t>
  </si>
  <si>
    <t>1. Log in as Candidate of tenant B.
2. Send POST /api/v1/practice/sessions/{id}/feedback using a resource ID that belongs to tenant A, with header X-Tenant-ID = tenant A.
3. Open the related list screen of tenant B.</t>
  </si>
  <si>
    <t>GET /api/v1/practice/sessions (GET /api/v1/practice/sessions)</t>
  </si>
  <si>
    <t>PRACT-03-TC03</t>
  </si>
  <si>
    <t>Verify get /api/v1/practice/sessions succeeds with valid input (GET /api/v1/practice/sessions).</t>
  </si>
  <si>
    <t>1. Log in as Candidate of tenant A.
2. Send GET /api/v1/practice/sessions with header X-Tenant-ID = tenant A.
3. Check the response and the data shown in the system.</t>
  </si>
  <si>
    <t>GET /api/v1/practice/sessions/{id} (GET /api/v1/practice/sessions/{id})</t>
  </si>
  <si>
    <t>PRACT-03-TC04</t>
  </si>
  <si>
    <t>Verify get /api/v1/practice/sessions/{id} succeeds with valid input (GET /api/v1/practice/sessions/{id}).</t>
  </si>
  <si>
    <t>1. Log in as Candidate of tenant A.
2. Send GET /api/v1/practice/sessions/{id} with header X-Tenant-ID = tenant A.
3. Check the response and the data shown in the system.</t>
  </si>
  <si>
    <t>DELETE /api/v1/practice/sessions/{id} (DELETE /api/v1/practice/sessions/{id})</t>
  </si>
  <si>
    <t>PRACT-03-TC05</t>
  </si>
  <si>
    <t>Verify delete /api/v1/practice/sessions/{id} succeeds with valid input (DELETE /api/v1/practice/sessions/{id}).</t>
  </si>
  <si>
    <t>1. Log in as Candidate of tenant A.
2. Send DELETE /api/v1/practice/sessions/{id} with header X-Tenant-ID = tenant A.
3. Check the response and the data shown in the system.</t>
  </si>
  <si>
    <t>PRACT-03-TC06</t>
  </si>
  <si>
    <t>Verify delete /api/v1/practice/sessions/{id} rejects invalid input (DELETE /api/v1/practice/sessions/{id}).</t>
  </si>
  <si>
    <t>1. Log in as Candidate of tenant A.
2. Send DELETE /api/v1/practice/sessions/{id} with header X-Tenant-ID = tenant A with missing required fields or invalid values (empty text, wrong format, out-of-range numbers, non-existing IDs).
3. Check the response and the data in the system.</t>
  </si>
  <si>
    <t>PRACT-03-TC07</t>
  </si>
  <si>
    <t>1. Send GET /api/v1/practice/sessions without an Authorization header.
2. Send the same request with a valid token of a role that is not allowed (e.g. Candidate calling a staff API).</t>
  </si>
  <si>
    <t>PRACT-03-TC08</t>
  </si>
  <si>
    <t>1. Log in as Candidate of tenant B.
2. Send GET /api/v1/practice/sessions/{id} using a resource ID that belongs to tenant A, with header X-Tenant-ID = tenant A.
3. Open the related list screen of tenant B.</t>
  </si>
  <si>
    <t>Board (GET /api/v1/jobs/{id}/rankings)</t>
  </si>
  <si>
    <t>RANK-01-TC11</t>
  </si>
  <si>
    <t>Verify board succeeds with valid input (GET /api/v1/jobs/{id}/rankings).</t>
  </si>
  <si>
    <t>1. Log in as Recruiter of tenant A.
2. Send GET /api/v1/jobs/{id}/rankings with header X-Tenant-ID = tenant A.
3. Check the response and the data shown in the system.</t>
  </si>
  <si>
    <t>Verified by automated tests: ApiResponseTest, RankingControllerTest, RankingServiceTest</t>
  </si>
  <si>
    <t>Recompute (POST /api/v1/jobs/{id}/rankings/recompute)</t>
  </si>
  <si>
    <t>RANK-01-TC12</t>
  </si>
  <si>
    <t>Verify recompute succeeds with valid input (POST /api/v1/jobs/{id}/rankings/recompute).</t>
  </si>
  <si>
    <t>1. Log in as Recruiter of tenant A.
2. Send POST /api/v1/jobs/{id}/rankings/recompute with header X-Tenant-ID = tenant A and a valid request body.
3. Check the response and the data shown in the system.</t>
  </si>
  <si>
    <t>RANK-01-TC13</t>
  </si>
  <si>
    <t>Verify recompute rejects invalid input (POST /api/v1/jobs/{id}/rankings/recompute).</t>
  </si>
  <si>
    <t>1. Log in as Recruiter of tenant A.
2. Send POST /api/v1/jobs/{id}/rankings/recompute with header X-Tenant-ID = tenant A with missing required fields or invalid values (empty text, wrong format, out-of-range numbers, non-existing IDs).
3. Check the response and the data in the system.</t>
  </si>
  <si>
    <t>Jobs (GET /api/v1/rankings/jobs)</t>
  </si>
  <si>
    <t>RANK-01-TC14</t>
  </si>
  <si>
    <t>Verify jobs succeeds with valid input (GET /api/v1/rankings/jobs).</t>
  </si>
  <si>
    <t>1. Log in as Recruiter of tenant A.
2. Send GET /api/v1/rankings/jobs with header X-Tenant-ID = tenant A.
3. Check the response and the data shown in the system.</t>
  </si>
  <si>
    <t>Config (PUT /api/v1/jobs/{id}/rankings/config)</t>
  </si>
  <si>
    <t>RANK-01-TC15</t>
  </si>
  <si>
    <t>Verify config succeeds with valid input (PUT /api/v1/jobs/{id}/rankings/config).</t>
  </si>
  <si>
    <t>1. Log in as Recruiter of tenant A.
2. Send PUT /api/v1/jobs/{id}/rankings/config with header X-Tenant-ID = tenant A and a valid request body.
3. Check the response and the data shown in the system.</t>
  </si>
  <si>
    <t>RANK-01-TC16</t>
  </si>
  <si>
    <t>Verify config rejects invalid input (PUT /api/v1/jobs/{id}/rankings/config).</t>
  </si>
  <si>
    <t>1. Log in as Recruiter of tenant A.
2. Send PUT /api/v1/jobs/{id}/rankings/config with header X-Tenant-ID = tenant A with missing required fields or invalid values (empty text, wrong format, out-of-range numbers, non-existing IDs).
3. Check the response and the data in the system.</t>
  </si>
  <si>
    <t>Sources (GET /api/v1/applications/{id}/ranking-sources)</t>
  </si>
  <si>
    <t>RANK-01-TC17</t>
  </si>
  <si>
    <t>Verify sources succeeds with valid input (GET /api/v1/applications/{id}/ranking-sources).</t>
  </si>
  <si>
    <t>1. Log in as Recruiter of tenant A.
2. Send GET /api/v1/applications/{id}/ranking-sources with header X-Tenant-ID = tenant A.
3. Check the response and the data shown in the system.</t>
  </si>
  <si>
    <t>Select (PUT /api/v1/applications/{id}/ranking-sources)</t>
  </si>
  <si>
    <t>RANK-01-TC18</t>
  </si>
  <si>
    <t>Verify select succeeds with valid input (PUT /api/v1/applications/{id}/ranking-sources).</t>
  </si>
  <si>
    <t>1. Log in as Recruiter of tenant A.
2. Send PUT /api/v1/applications/{id}/ranking-sources with header X-Tenant-ID = tenant A and a valid request body.
3. Check the response and the data shown in the system.</t>
  </si>
  <si>
    <t>RANK-01-TC19</t>
  </si>
  <si>
    <t>Verify select rejects invalid input (PUT /api/v1/applications/{id}/ranking-sources).</t>
  </si>
  <si>
    <t>1. Log in as Recruiter of tenant A.
2. Send PUT /api/v1/applications/{id}/ranking-sources with header X-Tenant-ID = tenant A with missing required fields or invalid values (empty text, wrong format, out-of-range numbers, non-existing IDs).
3. Check the response and the data in the system.</t>
  </si>
  <si>
    <t>Detail (GET /api/v1/applications/{id}/ranking-detail)</t>
  </si>
  <si>
    <t>RANK-01-TC20</t>
  </si>
  <si>
    <t>Verify detail succeeds with valid input (GET /api/v1/applications/{id}/ranking-detail).</t>
  </si>
  <si>
    <t>1. Log in as Recruiter of tenant A.
2. Send GET /api/v1/applications/{id}/ranking-detail with header X-Tenant-ID = tenant A.
3. Check the response and the data shown in the system.</t>
  </si>
  <si>
    <t>RANK-01-TC21</t>
  </si>
  <si>
    <t>1. Send GET /api/v1/jobs/{id}/rankings without an Authorization header.
2. Send the same request with a valid token of a role that is not allowed (e.g. Candidate calling a staff API).</t>
  </si>
  <si>
    <t>RANK-01-TC22</t>
  </si>
  <si>
    <t>1. Log in as Recruiter of tenant B.
2. Send GET /api/v1/jobs/{id}/rankings using a resource ID that belongs to tenant A, with header X-Tenant-ID = tenant A.
3. Open the related list screen of tenant B.</t>
  </si>
  <si>
    <t>GET /api/v1/recommendations/jobs (GET /api/v1/recommendations/jobs)</t>
  </si>
  <si>
    <t>RANK-02-TC03</t>
  </si>
  <si>
    <t>Verify get /api/v1/recommendations/jobs succeeds with valid input (GET /api/v1/recommendations/jobs).</t>
  </si>
  <si>
    <t>1. Log in as Recruiter of tenant A.
2. Send GET /api/v1/recommendations/jobs with header X-Tenant-ID = tenant A.
3. Check the response and the data shown in the system.</t>
  </si>
  <si>
    <t>GET /api/v1/jobs/{id}/recommendations/candidates (GET /api/v1/jobs/{id}/recommendations/candidates)</t>
  </si>
  <si>
    <t>RANK-02-TC04</t>
  </si>
  <si>
    <t>Verify get /api/v1/jobs/{id}/recommendations/candidates succeeds with valid input (GET /api/v1/jobs/{id}/recommendations/candidates).</t>
  </si>
  <si>
    <t>1. Log in as Recruiter of tenant A.
2. Send GET /api/v1/jobs/{id}/recommendations/candidates with header X-Tenant-ID = tenant A.
3. Check the response and the data shown in the system.</t>
  </si>
  <si>
    <t>RANK-02-TC05</t>
  </si>
  <si>
    <t>1. Send GET /api/v1/recommendations/jobs without an Authorization header.
2. Send the same request with a valid token of a role that is not allowed (e.g. Candidate calling a staff API).</t>
  </si>
  <si>
    <t>RANK-02-TC06</t>
  </si>
  <si>
    <t>1. Log in as Recruiter of tenant B.
2. Send GET /api/v1/jobs/{id}/recommendations/candidates using a resource ID that belongs to tenant A, with header X-Tenant-ID = tenant A.
3. Open the related list screen of tenant B.</t>
  </si>
  <si>
    <t>Overall (GET /api/v1/applications/{id}/overall-score)</t>
  </si>
  <si>
    <t>RANK-03-TC10</t>
  </si>
  <si>
    <t>Verify overall succeeds with valid input (GET /api/v1/applications/{id}/overall-score).</t>
  </si>
  <si>
    <t>1. Log in as Recruiter of tenant A.
2. Send GET /api/v1/applications/{id}/overall-score with header X-Tenant-ID = tenant A.
3. Check the response and the data shown in the system.</t>
  </si>
  <si>
    <t>Verified by automated tests: RankingControllerTest, RankingServiceTest</t>
  </si>
  <si>
    <t>RANK-03-TC11</t>
  </si>
  <si>
    <t>1. Send GET /api/v1/applications/{id}/overall-score without an Authorization header.
2. Send the same request with a valid token of a role that is not allowed (e.g. Candidate calling a staff API).</t>
  </si>
  <si>
    <t>RANK-03-TC12</t>
  </si>
  <si>
    <t>1. Log in as Recruiter of tenant B.
2. Send GET /api/v1/applications/{id}/overall-score using a resource ID that belongs to tenant A, with header X-Tenant-ID = tenant A.
3. Open the related list screen of tenant B.</t>
  </si>
  <si>
    <t>List (GET /api/v1/interviews)</t>
  </si>
  <si>
    <t>SCHED-01-TC12</t>
  </si>
  <si>
    <t>Verify list succeeds with valid input (GET /api/v1/interviews).</t>
  </si>
  <si>
    <t>1. Log in as Recruiter of tenant A.
2. Send GET /api/v1/interviews with header X-Tenant-ID = tenant A.
3. Check the response and the data shown in the system.</t>
  </si>
  <si>
    <t>Verified by automated tests: HumanInterviewServiceTest</t>
  </si>
  <si>
    <t>Summary (GET /api/v1/interviews/summary)</t>
  </si>
  <si>
    <t>SCHED-01-TC13</t>
  </si>
  <si>
    <t>Verify summary succeeds with valid input (GET /api/v1/interviews/summary).</t>
  </si>
  <si>
    <t>1. Log in as Recruiter of tenant A.
2. Send GET /api/v1/interviews/summary with header X-Tenant-ID = tenant A.
3. Check the response and the data shown in the system.</t>
  </si>
  <si>
    <t>Options (GET /api/v1/interviews/options)</t>
  </si>
  <si>
    <t>SCHED-01-TC14</t>
  </si>
  <si>
    <t>Verify options succeeds with valid input (GET /api/v1/interviews/options).</t>
  </si>
  <si>
    <t>1. Log in as Recruiter of tenant A.
2. Send GET /api/v1/interviews/options with header X-Tenant-ID = tenant A.
3. Check the response and the data shown in the system.</t>
  </si>
  <si>
    <t>Availability (POST /api/v1/interviews/availability)</t>
  </si>
  <si>
    <t>SCHED-01-TC15</t>
  </si>
  <si>
    <t>Verify availability succeeds with valid input (POST /api/v1/interviews/availability).</t>
  </si>
  <si>
    <t>1. Log in as Recruiter of tenant A.
2. Send POST /api/v1/interviews/availability with header X-Tenant-ID = tenant A and a valid request body.
3. Check the response and the data shown in the system.</t>
  </si>
  <si>
    <t>SCHED-01-TC16</t>
  </si>
  <si>
    <t>Verify availability rejects invalid input (POST /api/v1/interviews/availability).</t>
  </si>
  <si>
    <t>1. Log in as Recruiter of tenant A.
2. Send POST /api/v1/interviews/availability with header X-Tenant-ID = tenant A with missing required fields or invalid values (empty text, wrong format, out-of-range numbers, non-existing IDs).
3. Check the response and the data in the system.</t>
  </si>
  <si>
    <t>Create (POST /api/v1/interviews)</t>
  </si>
  <si>
    <t>SCHED-01-TC17</t>
  </si>
  <si>
    <t>Verify create succeeds with valid input (POST /api/v1/interviews).</t>
  </si>
  <si>
    <t>1. Log in as Recruiter of tenant A.
2. Send POST /api/v1/interviews with header X-Tenant-ID = tenant A and a valid request body.
3. Check the response and the data shown in the system.</t>
  </si>
  <si>
    <t>SCHED-01-TC18</t>
  </si>
  <si>
    <t>Verify create rejects invalid input (POST /api/v1/interviews).</t>
  </si>
  <si>
    <t>1. Log in as Recruiter of tenant A.
2. Send POST /api/v1/interviews with header X-Tenant-ID = tenant A with missing required fields or invalid values (empty text, wrong format, out-of-range numbers, non-existing IDs).
3. Check the response and the data in the system.</t>
  </si>
  <si>
    <t>Update (PATCH /api/v1/interviews/{id})</t>
  </si>
  <si>
    <t>SCHED-01-TC19</t>
  </si>
  <si>
    <t>Verify update succeeds with valid input (PATCH /api/v1/interviews/{id}).</t>
  </si>
  <si>
    <t>1. Log in as Recruiter of tenant A.
2. Send PATCH /api/v1/interviews/{id} with header X-Tenant-ID = tenant A and a valid request body.
3. Check the response and the data shown in the system.</t>
  </si>
  <si>
    <t>SCHED-01-TC20</t>
  </si>
  <si>
    <t>Verify update rejects invalid input (PATCH /api/v1/interviews/{id}).</t>
  </si>
  <si>
    <t>1. Log in as Recruiter of tenant A.
2. Send PATCH /api/v1/interviews/{id} with header X-Tenant-ID = tenant A with missing required fields or invalid values (empty text, wrong format, out-of-range numbers, non-existing IDs).
3. Check the response and the data in the system.</t>
  </si>
  <si>
    <t>Get (GET /api/v1/interviews/{id})</t>
  </si>
  <si>
    <t>SCHED-01-TC21</t>
  </si>
  <si>
    <t>Verify get succeeds with valid input (GET /api/v1/interviews/{id}).</t>
  </si>
  <si>
    <t>1. Log in as Recruiter of tenant A.
2. Send GET /api/v1/interviews/{id} with header X-Tenant-ID = tenant A.
3. Check the response and the data shown in the system.</t>
  </si>
  <si>
    <t>Mine (GET /api/v1/interviews/mine)</t>
  </si>
  <si>
    <t>SCHED-01-TC22</t>
  </si>
  <si>
    <t>Verify mine succeeds with valid input (GET /api/v1/interviews/mine).</t>
  </si>
  <si>
    <t>1. Log in as Recruiter of tenant A.
2. Send GET /api/v1/interviews/mine with header X-Tenant-ID = tenant A.
3. Check the response and the data shown in the system.</t>
  </si>
  <si>
    <t>Confirm (POST /api/v1/interviews/{id}/confirm)</t>
  </si>
  <si>
    <t>SCHED-01-TC23</t>
  </si>
  <si>
    <t>Verify confirm succeeds with valid input (POST /api/v1/interviews/{id}/confirm).</t>
  </si>
  <si>
    <t>1. Log in as Recruiter of tenant A.
2. Send POST /api/v1/interviews/{id}/confirm with header X-Tenant-ID = tenant A and a valid request body.
3. Check the response and the data shown in the system.</t>
  </si>
  <si>
    <t>SCHED-01-TC24</t>
  </si>
  <si>
    <t>Verify confirm rejects invalid input (POST /api/v1/interviews/{id}/confirm).</t>
  </si>
  <si>
    <t>1. Log in as Recruiter of tenant A.
2. Send POST /api/v1/interviews/{id}/confirm with header X-Tenant-ID = tenant A with missing required fields or invalid values (empty text, wrong format, out-of-range numbers, non-existing IDs).
3. Check the response and the data in the system.</t>
  </si>
  <si>
    <t>Request change (POST /api/v1/interviews/{id}/reschedule-request)</t>
  </si>
  <si>
    <t>SCHED-01-TC25</t>
  </si>
  <si>
    <t>Verify request change succeeds with valid input (POST /api/v1/interviews/{id}/reschedule-request).</t>
  </si>
  <si>
    <t>1. Log in as Recruiter of tenant A.
2. Send POST /api/v1/interviews/{id}/reschedule-request with header X-Tenant-ID = tenant A and a valid request body.
3. Check the response and the data shown in the system.</t>
  </si>
  <si>
    <t>SCHED-01-TC26</t>
  </si>
  <si>
    <t>Verify request change rejects invalid input (POST /api/v1/interviews/{id}/reschedule-request).</t>
  </si>
  <si>
    <t>1. Log in as Recruiter of tenant A.
2. Send POST /api/v1/interviews/{id}/reschedule-request with header X-Tenant-ID = tenant A with missing required fields or invalid values (empty text, wrong format, out-of-range numbers, non-existing IDs).
3. Check the response and the data in the system.</t>
  </si>
  <si>
    <t>Cancel (POST /api/v1/interviews/{id}/cancel)</t>
  </si>
  <si>
    <t>SCHED-01-TC27</t>
  </si>
  <si>
    <t>Verify cancel succeeds with valid input (POST /api/v1/interviews/{id}/cancel).</t>
  </si>
  <si>
    <t>1. Log in as Recruiter of tenant A.
2. Send POST /api/v1/interviews/{id}/cancel with header X-Tenant-ID = tenant A and a valid request body.
3. Check the response and the data shown in the system.</t>
  </si>
  <si>
    <t>SCHED-01-TC28</t>
  </si>
  <si>
    <t>Verify cancel rejects invalid input (POST /api/v1/interviews/{id}/cancel).</t>
  </si>
  <si>
    <t>1. Log in as Recruiter of tenant A.
2. Send POST /api/v1/interviews/{id}/cancel with header X-Tenant-ID = tenant A with missing required fields or invalid values (empty text, wrong format, out-of-range numbers, non-existing IDs).
3. Check the response and the data in the system.</t>
  </si>
  <si>
    <t>Complete (POST /api/v1/interviews/{id}/complete)</t>
  </si>
  <si>
    <t>SCHED-01-TC29</t>
  </si>
  <si>
    <t>Verify complete succeeds with valid input (POST /api/v1/interviews/{id}/complete).</t>
  </si>
  <si>
    <t>1. Log in as Recruiter of tenant A.
2. Send POST /api/v1/interviews/{id}/complete with header X-Tenant-ID = tenant A and a valid request body.
3. Check the response and the data shown in the system.</t>
  </si>
  <si>
    <t>SCHED-01-TC30</t>
  </si>
  <si>
    <t>Verify complete rejects invalid input (POST /api/v1/interviews/{id}/complete).</t>
  </si>
  <si>
    <t>1. Log in as Recruiter of tenant A.
2. Send POST /api/v1/interviews/{id}/complete with header X-Tenant-ID = tenant A with missing required fields or invalid values (empty text, wrong format, out-of-range numbers, non-existing IDs).
3. Check the response and the data in the system.</t>
  </si>
  <si>
    <t>Evaluate (POST /api/v1/interviews/{id}/evaluations)</t>
  </si>
  <si>
    <t>SCHED-01-TC31</t>
  </si>
  <si>
    <t>Verify evaluate succeeds with valid input (POST /api/v1/interviews/{id}/evaluations).</t>
  </si>
  <si>
    <t>1. Log in as Recruiter of tenant A.
2. Send POST /api/v1/interviews/{id}/evaluations with header X-Tenant-ID = tenant A and a valid request body.
3. Check the response and the data shown in the system.</t>
  </si>
  <si>
    <t>SCHED-01-TC32</t>
  </si>
  <si>
    <t>Verify evaluate rejects invalid input (POST /api/v1/interviews/{id}/evaluations).</t>
  </si>
  <si>
    <t>1. Log in as Recruiter of tenant A.
2. Send POST /api/v1/interviews/{id}/evaluations with header X-Tenant-ID = tenant A with missing required fields or invalid values (empty text, wrong format, out-of-range numbers, non-existing IDs).
3. Check the response and the data in the system.</t>
  </si>
  <si>
    <t>Remind (POST /api/v1/interviews/{id}/remind)</t>
  </si>
  <si>
    <t>SCHED-01-TC33</t>
  </si>
  <si>
    <t>Verify remind succeeds with valid input (POST /api/v1/interviews/{id}/remind).</t>
  </si>
  <si>
    <t>1. Log in as Recruiter of tenant A.
2. Send POST /api/v1/interviews/{id}/remind with header X-Tenant-ID = tenant A and a valid request body.
3. Check the response and the data shown in the system.</t>
  </si>
  <si>
    <t>SCHED-01-TC34</t>
  </si>
  <si>
    <t>Verify remind rejects invalid input (POST /api/v1/interviews/{id}/remind).</t>
  </si>
  <si>
    <t>1. Log in as Recruiter of tenant A.
2. Send POST /api/v1/interviews/{id}/remind with header X-Tenant-ID = tenant A with missing required fields or invalid values (empty text, wrong format, out-of-range numbers, non-existing IDs).
3. Check the response and the data in the system.</t>
  </si>
  <si>
    <t>Bulk (POST /api/v1/interviews/bulk)</t>
  </si>
  <si>
    <t>SCHED-01-TC35</t>
  </si>
  <si>
    <t>Verify bulk succeeds with valid input (POST /api/v1/interviews/bulk).</t>
  </si>
  <si>
    <t>1. Log in as Recruiter of tenant A.
2. Send POST /api/v1/interviews/bulk with header X-Tenant-ID = tenant A and a valid request body.
3. Check the response and the data shown in the system.</t>
  </si>
  <si>
    <t>SCHED-01-TC36</t>
  </si>
  <si>
    <t>Verify bulk rejects invalid input (POST /api/v1/interviews/bulk).</t>
  </si>
  <si>
    <t>1. Log in as Recruiter of tenant A.
2. Send POST /api/v1/interviews/bulk with header X-Tenant-ID = tenant A with missing required fields or invalid values (empty text, wrong format, out-of-range numbers, non-existing IDs).
3. Check the response and the data in the system.</t>
  </si>
  <si>
    <t>Preview (GET /api/v1/interviews/{id}/email-preview)</t>
  </si>
  <si>
    <t>SCHED-01-TC37</t>
  </si>
  <si>
    <t>Verify preview succeeds with valid input (GET /api/v1/interviews/{id}/email-preview).</t>
  </si>
  <si>
    <t>1. Log in as Recruiter of tenant A.
2. Send GET /api/v1/interviews/{id}/email-preview with header X-Tenant-ID = tenant A.
3. Check the response and the data shown in the system.</t>
  </si>
  <si>
    <t>SCHED-01-TC38</t>
  </si>
  <si>
    <t>1. Send GET /api/v1/interviews without an Authorization header.
2. Send the same request with a valid token of a role that is not allowed (e.g. Candidate calling a staff API).</t>
  </si>
  <si>
    <t>SCHED-01-TC39</t>
  </si>
  <si>
    <t>1. Log in as Recruiter of tenant B.
2. Send PATCH /api/v1/interviews/{id} using a resource ID that belongs to tenant A, with header X-Tenant-ID = tenant A.
3. Open the related list screen of tenant B.</t>
  </si>
  <si>
    <t>Mine (GET /api/v1/notifications)</t>
  </si>
  <si>
    <t>SCHED-02-TC03</t>
  </si>
  <si>
    <t>Verify mine succeeds with valid input (GET /api/v1/notifications).</t>
  </si>
  <si>
    <t>1. Log in as Recruiter of tenant A.
2. Send GET /api/v1/notifications with header X-Tenant-ID = tenant A.
3. Check the response and the data shown in the system.</t>
  </si>
  <si>
    <t>07/10/2026</t>
  </si>
  <si>
    <t>Verified by automated tests: NotificationPreferenceServiceTest, NotificationServiceTest</t>
  </si>
  <si>
    <t>PATCH /api/v1/notifications/{id} (PATCH /api/v1/notifications/{id})</t>
  </si>
  <si>
    <t>SCHED-02-TC04</t>
  </si>
  <si>
    <t>Verify patch /api/v1/notifications/{id} succeeds with valid input (PATCH /api/v1/notifications/{id}).</t>
  </si>
  <si>
    <t>1. Log in as Recruiter of tenant A.
2. Send PATCH /api/v1/notifications/{id} with header X-Tenant-ID = tenant A and a valid request body.
3. Check the response and the data shown in the system.</t>
  </si>
  <si>
    <t>SCHED-02-TC05</t>
  </si>
  <si>
    <t>Verify patch /api/v1/notifications/{id} rejects invalid input (PATCH /api/v1/notifications/{id}).</t>
  </si>
  <si>
    <t>1. Log in as Recruiter of tenant A.
2. Send PATCH /api/v1/notifications/{id} with header X-Tenant-ID = tenant A with missing required fields or invalid values (empty text, wrong format, out-of-range numbers, non-existing IDs).
3. Check the response and the data in the system.</t>
  </si>
  <si>
    <t>Preferences (GET /api/v1/notifications/preferences)</t>
  </si>
  <si>
    <t>SCHED-02-TC06</t>
  </si>
  <si>
    <t>Verify preferences succeeds with valid input (GET /api/v1/notifications/preferences).</t>
  </si>
  <si>
    <t>1. Log in as Recruiter of tenant A.
2. Send GET /api/v1/notifications/preferences with header X-Tenant-ID = tenant A.
3. Check the response and the data shown in the system.</t>
  </si>
  <si>
    <t>Update preferences (PUT /api/v1/notifications/preferences)</t>
  </si>
  <si>
    <t>SCHED-02-TC07</t>
  </si>
  <si>
    <t>Verify update preferences succeeds with valid input (PUT /api/v1/notifications/preferences).</t>
  </si>
  <si>
    <t>1. Log in as Recruiter of tenant A.
2. Send PUT /api/v1/notifications/preferences with header X-Tenant-ID = tenant A and a valid request body.
3. Check the response and the data shown in the system.</t>
  </si>
  <si>
    <t>SCHED-02-TC08</t>
  </si>
  <si>
    <t>Verify update preferences rejects invalid input (PUT /api/v1/notifications/preferences).</t>
  </si>
  <si>
    <t>1. Log in as Recruiter of tenant A.
2. Send PUT /api/v1/notifications/preferences with header X-Tenant-ID = tenant A with missing required fields or invalid values (empty text, wrong format, out-of-range numbers, non-existing IDs).
3. Check the response and the data in the system.</t>
  </si>
  <si>
    <t>SCHED-02-TC09</t>
  </si>
  <si>
    <t>1. Send GET /api/v1/notifications without an Authorization header.
2. Send the same request with a valid token of a role that is not allowed (e.g. Candidate calling a staff API).</t>
  </si>
  <si>
    <t>SCHED-02-TC10</t>
  </si>
  <si>
    <t>1. Log in as Recruiter of tenant B.
2. Send PATCH /api/v1/notifications/{id} using a resource ID that belongs to tenant A, with header X-Tenant-ID = tenant A.
3. Open the related list screen of tenant B.</t>
  </si>
  <si>
    <t>WF-01-TC06</t>
  </si>
  <si>
    <t>1. Log in as Recruiter of tenant A.
2. Send GET /api/v1/jobs/{id}/applications with header X-Tenant-ID = tenant A.
3. Check the response and the data shown in the system.</t>
  </si>
  <si>
    <t>Verified by automated tests: ApplicantServiceTest, CandidateEvaluationServiceTest</t>
  </si>
  <si>
    <t>WF-01-TC07</t>
  </si>
  <si>
    <t>1. Log in as Recruiter of tenant A.
2. Send GET /api/v1/applications/me with header X-Tenant-ID = tenant A.
3. Check the response and the data shown in the system.</t>
  </si>
  <si>
    <t>Status (POST /api/v1/applications/{id}/status)</t>
  </si>
  <si>
    <t>WF-01-TC08</t>
  </si>
  <si>
    <t>Verify status succeeds with valid input (POST /api/v1/applications/{id}/status).</t>
  </si>
  <si>
    <t>1. Log in as Recruiter of tenant A.
2. Send POST /api/v1/applications/{id}/status with header X-Tenant-ID = tenant A and a valid request body.
3. Check the response and the data shown in the system.</t>
  </si>
  <si>
    <t>WF-01-TC09</t>
  </si>
  <si>
    <t>Verify status rejects invalid input (POST /api/v1/applications/{id}/status).</t>
  </si>
  <si>
    <t>1. Log in as Recruiter of tenant A.
2. Send POST /api/v1/applications/{id}/status with header X-Tenant-ID = tenant A with missing required fields or invalid values (empty text, wrong format, out-of-range numbers, non-existing IDs).
3. Check the response and the data in the system.</t>
  </si>
  <si>
    <t>WF-01-TC10</t>
  </si>
  <si>
    <t>1. Send GET /api/v1/jobs/{id}/applications without an Authorization header.
2. Send the same request with a valid token of a role that is not allowed (e.g. Candidate calling a staff API).</t>
  </si>
  <si>
    <t>WF-01-TC11</t>
  </si>
  <si>
    <t>1. Log in as Recruiter of tenant B.
2. Send GET /api/v1/jobs/{id}/applications using a resource ID that belongs to tenant A, with header X-Tenant-ID = tenant A.
3. Open the related list screen of tenant B.</t>
  </si>
  <si>
    <t>PATCH /api/v1/applications/{id}/status (PATCH /api/v1/applications/{id}/status)</t>
  </si>
  <si>
    <t>WF-02-TC11</t>
  </si>
  <si>
    <t>Verify patch /api/v1/applications/{id}/status succeeds with valid input (PATCH /api/v1/applications/{id}/status).</t>
  </si>
  <si>
    <t>1. Log in as Recruiter of tenant A.
2. Send PATCH /api/v1/applications/{id}/status with header X-Tenant-ID = tenant A and a valid request body.
3. Check the response and the data shown in the system.</t>
  </si>
  <si>
    <t>WF-02-TC12</t>
  </si>
  <si>
    <t>Verify patch /api/v1/applications/{id}/status rejects invalid input (PATCH /api/v1/applications/{id}/status).</t>
  </si>
  <si>
    <t>1. Log in as Recruiter of tenant A.
2. Send PATCH /api/v1/applications/{id}/status with header X-Tenant-ID = tenant A with missing required fields or invalid values (empty text, wrong format, out-of-range numbers, non-existing IDs).
3. Check the response and the data in the system.</t>
  </si>
  <si>
    <t>GET /api/v1/applications/{id}/status-history (GET /api/v1/applications/{id}/status-history)</t>
  </si>
  <si>
    <t>WF-02-TC13</t>
  </si>
  <si>
    <t>Verify get /api/v1/applications/{id}/status-history succeeds with valid input (GET /api/v1/applications/{id}/status-history).</t>
  </si>
  <si>
    <t>1. Log in as Recruiter of tenant A.
2. Send GET /api/v1/applications/{id}/status-history with header X-Tenant-ID = tenant A.
3. Check the response and the data shown in the system.</t>
  </si>
  <si>
    <t>Outcome (POST /api/v1/applications/{id}/withdraw)</t>
  </si>
  <si>
    <t>WF-02-TC14</t>
  </si>
  <si>
    <t>Verify outcome succeeds with valid input (POST /api/v1/applications/{id}/withdraw).</t>
  </si>
  <si>
    <t>1. Log in as Recruiter of tenant A.
2. Send POST /api/v1/applications/{id}/withdraw with header X-Tenant-ID = tenant A and a valid request body.
3. Check the response and the data shown in the system.</t>
  </si>
  <si>
    <t>Verified by automated tests: AccountProfileServiceTest, ApplicantServiceTest, CandidateEvaluationServiceTest ...</t>
  </si>
  <si>
    <t>WF-02-TC15</t>
  </si>
  <si>
    <t>Verify outcome rejects invalid input (POST /api/v1/applications/{id}/withdraw).</t>
  </si>
  <si>
    <t>1. Log in as Recruiter of tenant A.
2. Send POST /api/v1/applications/{id}/withdraw with header X-Tenant-ID = tenant A with missing required fields or invalid values (empty text, wrong format, out-of-range numbers, non-existing IDs).
3. Check the response and the data in the system.</t>
  </si>
  <si>
    <t>Erase profile (DELETE /api/v1/tenant/auth/profile)</t>
  </si>
  <si>
    <t>WF-02-TC16</t>
  </si>
  <si>
    <t>Verify erase profile succeeds with valid input (DELETE /api/v1/tenant/auth/profile).</t>
  </si>
  <si>
    <t>1. Log in as Recruiter of tenant A.
2. Send DELETE /api/v1/tenant/auth/profile with header X-Tenant-ID = tenant A.
3. Check the response and the data shown in the system.</t>
  </si>
  <si>
    <t>WF-02-TC17</t>
  </si>
  <si>
    <t>Verify erase profile rejects invalid input (DELETE /api/v1/tenant/auth/profile).</t>
  </si>
  <si>
    <t>1. Log in as Recruiter of tenant A.
2. Send DELETE /api/v1/tenant/auth/profile with header X-Tenant-ID = tenant A with missing required fields or invalid values (empty text, wrong format, out-of-range numbers, non-existing IDs).
3. Check the response and the data in the system.</t>
  </si>
  <si>
    <t>WF-02-TC18</t>
  </si>
  <si>
    <t>WF-02-TC19</t>
  </si>
  <si>
    <t>WF-02-TC20</t>
  </si>
  <si>
    <t>1. Send PATCH /api/v1/applications/{id}/status without an Authorization header.
2. Send the same request with a valid token of a role that is not allowed (e.g. Candidate calling a staff API).</t>
  </si>
  <si>
    <t>WF-02-TC21</t>
  </si>
  <si>
    <t>1. Log in as Recruiter of tenant B.
2. Send PATCH /api/v1/applications/{id}/status using a resource ID that belongs to tenant A, with header X-Tenant-ID = tenant A.
3. Open the related list screen of tenant B.</t>
  </si>
  <si>
    <t>POST /api/v1/applications/{id}/decisions (POST /api/v1/applications/{id}/decisions)</t>
  </si>
  <si>
    <t>WF-03-TC03</t>
  </si>
  <si>
    <t>Verify post /api/v1/applications/{id}/decisions succeeds with valid input (POST /api/v1/applications/{id}/decisions).</t>
  </si>
  <si>
    <t>1. Log in as Admin of tenant A.
2. Send POST /api/v1/applications/{id}/decisions with header X-Tenant-ID = tenant A and a valid request body.
3. Check the response and the data shown in the system.</t>
  </si>
  <si>
    <t>WF-03-TC04</t>
  </si>
  <si>
    <t>Verify post /api/v1/applications/{id}/decisions rejects invalid input (POST /api/v1/applications/{id}/decisions).</t>
  </si>
  <si>
    <t>1. Log in as Admin of tenant A.
2. Send POST /api/v1/applications/{id}/decisions with header X-Tenant-ID = tenant A with missing required fields or invalid values (empty text, wrong format, out-of-range numbers, non-existing IDs).
3. Check the response and the data in the system.</t>
  </si>
  <si>
    <t>GET /api/v1/applications/{id}/decisions (GET /api/v1/applications/{id}/decisions)</t>
  </si>
  <si>
    <t>WF-03-TC05</t>
  </si>
  <si>
    <t>Verify get /api/v1/applications/{id}/decisions succeeds with valid input (GET /api/v1/applications/{id}/decisions).</t>
  </si>
  <si>
    <t>1. Log in as Admin of tenant A.
2. Send GET /api/v1/applications/{id}/decisions with header X-Tenant-ID = tenant A.
3. Check the response and the data shown in the system.</t>
  </si>
  <si>
    <t>WF-03-TC06</t>
  </si>
  <si>
    <t>1. Send POST /api/v1/applications/{id}/decisions without an Authorization header.
2. Send the same request with a valid token of a role that is not allowed (e.g. Candidate calling a staff API).</t>
  </si>
  <si>
    <t>WF-03-TC07</t>
  </si>
  <si>
    <t>1. Log in as Admin of tenant B.
2. Send POST /api/v1/applications/{id}/decisions using a resource ID that belongs to tenant A, with header X-Tenant-ID = tenant A.
3. Open the related list screen of tenant B.</t>
  </si>
  <si>
    <t>&lt;Feature Name1&gt;</t>
  </si>
  <si>
    <t>&lt;Brief description about requirements which are tested in this sheet&gt;</t>
  </si>
  <si>
    <t>Function A</t>
  </si>
  <si>
    <t>&lt;ID1&gt;</t>
  </si>
  <si>
    <t>&lt;Brief description of this case: what is tested?&gt;
Ex: Test viewing "Company" form.</t>
  </si>
  <si>
    <t>&lt;Describe steps to perform this case&gt;
Ex:
1. Login the system with Manager role.
2. Click "Company" tab in the left menu.</t>
  </si>
  <si>
    <t>&lt;Describe results which meet customer's requirement&gt;
Ex:
The "Company" view form is displayed with the folowing informations:
- Company name
- Company address
- Phone
- Fax</t>
  </si>
  <si>
    <t xml:space="preserve">&lt;List all test cases or conditions that must be done before performing this case&gt;
</t>
  </si>
  <si>
    <t>&lt;ID2&gt;</t>
  </si>
  <si>
    <t>&lt;Test case 2&gt;</t>
  </si>
  <si>
    <t>&lt;ID3&gt;</t>
  </si>
  <si>
    <t>&lt;Test case 3&gt;</t>
  </si>
  <si>
    <t>Function B</t>
  </si>
  <si>
    <t>&lt;ID4&gt;</t>
  </si>
  <si>
    <t>&lt;Test case 4&gt;</t>
  </si>
  <si>
    <t>&lt;ID5&gt;</t>
  </si>
  <si>
    <t>&lt;Test case 5&gt;</t>
  </si>
  <si>
    <t>Function C</t>
  </si>
  <si>
    <t>&lt;ID6&gt;</t>
  </si>
  <si>
    <t>&lt;Test case 6&gt;</t>
  </si>
  <si>
    <t>Code</t>
  </si>
  <si>
    <t>Owner</t>
  </si>
  <si>
    <t>BR planned</t>
  </si>
  <si>
    <t>BR written</t>
  </si>
  <si>
    <t>API/security TCs</t>
  </si>
  <si>
    <t>TCs written</t>
  </si>
  <si>
    <t>TCs planned</t>
  </si>
  <si>
    <t>Filled at</t>
  </si>
  <si>
    <t>14/10/2026 22:44</t>
  </si>
  <si>
    <t>SA</t>
  </si>
  <si>
    <t>14/09/2026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</si>
</sst>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2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11"/>
      <name val="ＭＳ Ｐゴシック"/>
      <family val="3"/>
      <charset val="128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0"/>
      <color rgb="FF000000"/>
      <name val="Tahoma"/>
      <family val="2"/>
    </font>
    <font>
      <u/>
      <sz val="11"/>
      <color rgb="FF000000"/>
      <name val="ＭＳ Ｐゴシック"/>
      <family val="3"/>
      <charset val="128"/>
    </font>
    <font>
      <u/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1" fillId="0" borderId="0"/>
    <xf numFmtId="0" fontId="14" fillId="0" borderId="0"/>
    <xf numFmtId="0" fontId="14" fillId="0" borderId="0"/>
    <xf numFmtId="0" fontId="1" fillId="0" borderId="0"/>
    <xf numFmtId="0" fontId="16" fillId="0" borderId="0"/>
  </cellStyleXfs>
  <cellXfs count="142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12" fillId="2" borderId="0" xfId="0" applyFont="1" applyFill="1"/>
    <xf numFmtId="0" fontId="12" fillId="2" borderId="0" xfId="0" applyFont="1" applyFill="1" applyAlignment="1">
      <alignment wrapText="1"/>
    </xf>
    <xf numFmtId="0" fontId="13" fillId="2" borderId="0" xfId="0" applyFont="1" applyFill="1"/>
    <xf numFmtId="0" fontId="2" fillId="2" borderId="0" xfId="0" applyFont="1" applyFill="1" applyAlignment="1">
      <alignment horizontal="center" wrapText="1"/>
    </xf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10" fillId="5" borderId="13" xfId="3" applyFont="1" applyFill="1" applyBorder="1" applyAlignment="1">
      <alignment horizontal="left" vertical="center"/>
    </xf>
    <xf numFmtId="0" fontId="10" fillId="5" borderId="14" xfId="3" applyFont="1" applyFill="1" applyBorder="1" applyAlignment="1">
      <alignment horizontal="left" vertical="center"/>
    </xf>
    <xf numFmtId="0" fontId="10" fillId="5" borderId="2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6" fillId="2" borderId="1" xfId="3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2" fillId="2" borderId="0" xfId="0" applyFont="1" applyFill="1" applyAlignment="1">
      <alignment vertical="top" wrapText="1"/>
    </xf>
    <xf numFmtId="0" fontId="13" fillId="2" borderId="0" xfId="0" applyFont="1" applyFill="1" applyAlignment="1">
      <alignment vertical="top"/>
    </xf>
    <xf numFmtId="0" fontId="13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vertical="center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5" borderId="20" xfId="3" applyFont="1" applyFill="1" applyBorder="1" applyAlignment="1">
      <alignment horizontal="left" vertical="center"/>
    </xf>
    <xf numFmtId="0" fontId="10" fillId="5" borderId="21" xfId="3" applyFont="1" applyFill="1" applyBorder="1" applyAlignment="1">
      <alignment horizontal="left" vertical="center"/>
    </xf>
    <xf numFmtId="0" fontId="10" fillId="5" borderId="22" xfId="3" applyFont="1" applyFill="1" applyBorder="1" applyAlignment="1">
      <alignment horizontal="left" vertical="center"/>
    </xf>
    <xf numFmtId="0" fontId="6" fillId="2" borderId="0" xfId="3" applyFont="1" applyFill="1" applyAlignment="1">
      <alignment wrapText="1"/>
    </xf>
    <xf numFmtId="0" fontId="7" fillId="6" borderId="23" xfId="3" applyFont="1" applyFill="1" applyBorder="1" applyAlignment="1">
      <alignment horizontal="center" vertical="center" wrapText="1"/>
    </xf>
    <xf numFmtId="0" fontId="15" fillId="2" borderId="23" xfId="3" applyFont="1" applyFill="1" applyBorder="1" applyAlignment="1">
      <alignment horizontal="center" vertical="top" wrapText="1"/>
    </xf>
    <xf numFmtId="0" fontId="2" fillId="2" borderId="23" xfId="3" applyFont="1" applyFill="1" applyBorder="1" applyAlignment="1">
      <alignment horizontal="center" vertical="top" wrapText="1"/>
    </xf>
    <xf numFmtId="0" fontId="15" fillId="2" borderId="26" xfId="3" applyFont="1" applyFill="1" applyBorder="1" applyAlignment="1">
      <alignment horizontal="center" vertical="top" wrapText="1"/>
    </xf>
    <xf numFmtId="0" fontId="15" fillId="2" borderId="27" xfId="3" applyFont="1" applyFill="1" applyBorder="1" applyAlignment="1">
      <alignment horizontal="center" vertical="top" wrapText="1"/>
    </xf>
    <xf numFmtId="0" fontId="15" fillId="2" borderId="28" xfId="3" applyFont="1" applyFill="1" applyBorder="1" applyAlignment="1">
      <alignment horizontal="center" vertical="top" wrapText="1"/>
    </xf>
    <xf numFmtId="0" fontId="2" fillId="2" borderId="29" xfId="3" applyFont="1" applyFill="1" applyBorder="1" applyAlignment="1">
      <alignment horizontal="center" vertical="top" wrapText="1"/>
    </xf>
    <xf numFmtId="0" fontId="2" fillId="2" borderId="30" xfId="3" applyFont="1" applyFill="1" applyBorder="1" applyAlignment="1">
      <alignment horizontal="center" vertical="top" wrapText="1"/>
    </xf>
    <xf numFmtId="0" fontId="2" fillId="2" borderId="27" xfId="3" applyFont="1" applyFill="1" applyBorder="1" applyAlignment="1">
      <alignment horizontal="center" vertical="top" wrapText="1"/>
    </xf>
    <xf numFmtId="0" fontId="10" fillId="2" borderId="24" xfId="3" applyFont="1" applyFill="1" applyBorder="1" applyAlignment="1">
      <alignment horizontal="center" vertical="top" wrapText="1"/>
    </xf>
    <xf numFmtId="0" fontId="10" fillId="2" borderId="26" xfId="3" applyFont="1" applyFill="1" applyBorder="1" applyAlignment="1">
      <alignment horizontal="center" vertical="top" wrapText="1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10" fillId="2" borderId="1" xfId="5" applyFont="1" applyFill="1" applyBorder="1" applyAlignment="1">
      <alignment vertical="center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17" fillId="0" borderId="2" xfId="5" applyFont="1" applyBorder="1"/>
    <xf numFmtId="0" fontId="19" fillId="0" borderId="2" xfId="5" applyFont="1" applyBorder="1"/>
    <xf numFmtId="0" fontId="19" fillId="0" borderId="2" xfId="5" applyFont="1" applyBorder="1" applyAlignment="1">
      <alignment horizontal="left" indent="1"/>
    </xf>
    <xf numFmtId="0" fontId="19" fillId="0" borderId="6" xfId="5" applyFont="1" applyBorder="1" applyAlignment="1">
      <alignment vertical="top" wrapText="1"/>
    </xf>
    <xf numFmtId="49" fontId="17" fillId="0" borderId="7" xfId="5" applyNumberFormat="1" applyFont="1" applyBorder="1" applyAlignment="1">
      <alignment vertical="top"/>
    </xf>
    <xf numFmtId="0" fontId="17" fillId="0" borderId="7" xfId="5" applyFont="1" applyBorder="1" applyAlignment="1">
      <alignment vertical="top"/>
    </xf>
    <xf numFmtId="15" fontId="17" fillId="0" borderId="7" xfId="5" applyNumberFormat="1" applyFont="1" applyBorder="1" applyAlignment="1">
      <alignment vertical="top"/>
    </xf>
    <xf numFmtId="0" fontId="19" fillId="0" borderId="8" xfId="5" applyFont="1" applyBorder="1" applyAlignment="1">
      <alignment vertical="top" wrapText="1"/>
    </xf>
    <xf numFmtId="1" fontId="17" fillId="2" borderId="6" xfId="0" applyNumberFormat="1" applyFont="1" applyFill="1" applyBorder="1" applyAlignment="1">
      <alignment vertical="center"/>
    </xf>
    <xf numFmtId="49" fontId="17" fillId="2" borderId="7" xfId="0" applyNumberFormat="1" applyFont="1" applyFill="1" applyBorder="1" applyAlignment="1">
      <alignment horizontal="left" vertical="center"/>
    </xf>
    <xf numFmtId="0" fontId="20" fillId="2" borderId="7" xfId="1" applyFont="1" applyFill="1" applyBorder="1" applyAlignment="1">
      <alignment horizontal="left" vertical="center"/>
    </xf>
    <xf numFmtId="0" fontId="21" fillId="2" borderId="7" xfId="1" applyFont="1" applyFill="1" applyBorder="1" applyAlignment="1">
      <alignment horizontal="left" vertical="center"/>
    </xf>
    <xf numFmtId="0" fontId="17" fillId="2" borderId="8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vertical="top"/>
    </xf>
    <xf numFmtId="0" fontId="19" fillId="2" borderId="2" xfId="0" applyFont="1" applyFill="1" applyBorder="1" applyAlignment="1">
      <alignment vertical="top"/>
    </xf>
    <xf numFmtId="0" fontId="17" fillId="2" borderId="18" xfId="0" applyFont="1" applyFill="1" applyBorder="1" applyAlignment="1">
      <alignment horizontal="center"/>
    </xf>
    <xf numFmtId="0" fontId="17" fillId="2" borderId="7" xfId="0" applyFont="1" applyFill="1" applyBorder="1"/>
    <xf numFmtId="0" fontId="17" fillId="2" borderId="7" xfId="0" applyFont="1" applyFill="1" applyBorder="1" applyAlignment="1">
      <alignment horizontal="center"/>
    </xf>
    <xf numFmtId="0" fontId="17" fillId="2" borderId="19" xfId="0" applyFont="1" applyFill="1" applyBorder="1" applyAlignment="1">
      <alignment horizontal="center"/>
    </xf>
    <xf numFmtId="0" fontId="18" fillId="5" borderId="20" xfId="3" applyFont="1" applyFill="1" applyBorder="1" applyAlignment="1">
      <alignment horizontal="left" vertical="center"/>
    </xf>
    <xf numFmtId="0" fontId="18" fillId="5" borderId="21" xfId="3" applyFont="1" applyFill="1" applyBorder="1" applyAlignment="1">
      <alignment horizontal="left" vertical="center"/>
    </xf>
    <xf numFmtId="0" fontId="18" fillId="5" borderId="22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vertical="top" wrapText="1"/>
    </xf>
    <xf numFmtId="0" fontId="19" fillId="2" borderId="1" xfId="3" applyFont="1" applyFill="1" applyBorder="1" applyAlignment="1">
      <alignment vertical="top" wrapText="1"/>
    </xf>
    <xf numFmtId="0" fontId="19" fillId="2" borderId="1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vertical="top" wrapText="1"/>
    </xf>
    <xf numFmtId="0" fontId="4" fillId="0" borderId="1" xfId="5" applyFont="1" applyBorder="1" applyAlignment="1">
      <alignment horizontal="center" vertical="center"/>
    </xf>
    <xf numFmtId="0" fontId="0" fillId="0" borderId="14" xfId="0" applyBorder="1"/>
    <xf numFmtId="0" fontId="0" fillId="0" borderId="2" xfId="0" applyBorder="1"/>
    <xf numFmtId="0" fontId="19" fillId="0" borderId="1" xfId="5" applyFont="1" applyBorder="1" applyAlignment="1">
      <alignment horizontal="left" vertical="center"/>
    </xf>
    <xf numFmtId="0" fontId="19" fillId="0" borderId="1" xfId="5" applyFont="1" applyBorder="1" applyAlignment="1">
      <alignment horizontal="left"/>
    </xf>
    <xf numFmtId="0" fontId="19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1" fontId="5" fillId="2" borderId="1" xfId="0" applyNumberFormat="1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19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0" xfId="0" applyFont="1" applyFill="1"/>
    <xf numFmtId="0" fontId="17" fillId="2" borderId="23" xfId="3" applyFont="1" applyFill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17" fillId="2" borderId="25" xfId="3" applyFont="1" applyFill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2" fillId="2" borderId="23" xfId="3" applyFont="1" applyFill="1" applyBorder="1" applyAlignment="1">
      <alignment horizontal="left" vertical="top" wrapText="1"/>
    </xf>
    <xf numFmtId="0" fontId="2" fillId="2" borderId="25" xfId="3" applyFont="1" applyFill="1" applyBorder="1" applyAlignment="1">
      <alignment horizontal="left" vertical="top" wrapText="1"/>
    </xf>
  </cellXfs>
  <cellStyles count="6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00000000-0005-0000-0000-000005000000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7"/>
  <sheetViews>
    <sheetView showGridLines="0" tabSelected="1" workbookViewId="0">
      <selection activeCell="E14" sqref="E14"/>
    </sheetView>
  </sheetViews>
  <sheetFormatPr defaultColWidth="9" defaultRowHeight="12.75"/>
  <cols>
    <col min="1" max="1" width="28.125" style="94" customWidth="1"/>
    <col min="2" max="2" width="10" style="73" customWidth="1"/>
    <col min="3" max="3" width="14.375" style="73" customWidth="1"/>
    <col min="4" max="4" width="8" style="73" customWidth="1"/>
    <col min="5" max="5" width="38" style="73" customWidth="1"/>
    <col min="6" max="6" width="48.125" style="73" customWidth="1"/>
    <col min="7" max="256" width="9" style="73" customWidth="1"/>
    <col min="257" max="257" width="28.125" style="73" customWidth="1"/>
    <col min="258" max="258" width="10" style="73" customWidth="1"/>
    <col min="259" max="259" width="14.375" style="73" customWidth="1"/>
    <col min="260" max="260" width="8" style="73" customWidth="1"/>
    <col min="261" max="261" width="38" style="73" customWidth="1"/>
    <col min="262" max="262" width="48.125" style="73" customWidth="1"/>
    <col min="263" max="512" width="9" style="73" customWidth="1"/>
    <col min="513" max="513" width="28.125" style="73" customWidth="1"/>
    <col min="514" max="514" width="10" style="73" customWidth="1"/>
    <col min="515" max="515" width="14.375" style="73" customWidth="1"/>
    <col min="516" max="516" width="8" style="73" customWidth="1"/>
    <col min="517" max="517" width="38" style="73" customWidth="1"/>
    <col min="518" max="518" width="48.125" style="73" customWidth="1"/>
    <col min="519" max="768" width="9" style="73" customWidth="1"/>
    <col min="769" max="769" width="28.125" style="73" customWidth="1"/>
    <col min="770" max="770" width="10" style="73" customWidth="1"/>
    <col min="771" max="771" width="14.375" style="73" customWidth="1"/>
    <col min="772" max="772" width="8" style="73" customWidth="1"/>
    <col min="773" max="773" width="38" style="73" customWidth="1"/>
    <col min="774" max="774" width="48.125" style="73" customWidth="1"/>
    <col min="775" max="1024" width="9" style="73" customWidth="1"/>
    <col min="1025" max="1025" width="28.125" style="73" customWidth="1"/>
    <col min="1026" max="1026" width="10" style="73" customWidth="1"/>
    <col min="1027" max="1027" width="14.375" style="73" customWidth="1"/>
    <col min="1028" max="1028" width="8" style="73" customWidth="1"/>
    <col min="1029" max="1029" width="38" style="73" customWidth="1"/>
    <col min="1030" max="1030" width="48.125" style="73" customWidth="1"/>
    <col min="1031" max="1280" width="9" style="73" customWidth="1"/>
    <col min="1281" max="1281" width="28.125" style="73" customWidth="1"/>
    <col min="1282" max="1282" width="10" style="73" customWidth="1"/>
    <col min="1283" max="1283" width="14.375" style="73" customWidth="1"/>
    <col min="1284" max="1284" width="8" style="73" customWidth="1"/>
    <col min="1285" max="1285" width="38" style="73" customWidth="1"/>
    <col min="1286" max="1286" width="48.125" style="73" customWidth="1"/>
    <col min="1287" max="1536" width="9" style="73" customWidth="1"/>
    <col min="1537" max="1537" width="28.125" style="73" customWidth="1"/>
    <col min="1538" max="1538" width="10" style="73" customWidth="1"/>
    <col min="1539" max="1539" width="14.375" style="73" customWidth="1"/>
    <col min="1540" max="1540" width="8" style="73" customWidth="1"/>
    <col min="1541" max="1541" width="38" style="73" customWidth="1"/>
    <col min="1542" max="1542" width="48.125" style="73" customWidth="1"/>
    <col min="1543" max="1792" width="9" style="73" customWidth="1"/>
    <col min="1793" max="1793" width="28.125" style="73" customWidth="1"/>
    <col min="1794" max="1794" width="10" style="73" customWidth="1"/>
    <col min="1795" max="1795" width="14.375" style="73" customWidth="1"/>
    <col min="1796" max="1796" width="8" style="73" customWidth="1"/>
    <col min="1797" max="1797" width="38" style="73" customWidth="1"/>
    <col min="1798" max="1798" width="48.125" style="73" customWidth="1"/>
    <col min="1799" max="2048" width="9" style="73" customWidth="1"/>
    <col min="2049" max="2049" width="28.125" style="73" customWidth="1"/>
    <col min="2050" max="2050" width="10" style="73" customWidth="1"/>
    <col min="2051" max="2051" width="14.375" style="73" customWidth="1"/>
    <col min="2052" max="2052" width="8" style="73" customWidth="1"/>
    <col min="2053" max="2053" width="38" style="73" customWidth="1"/>
    <col min="2054" max="2054" width="48.125" style="73" customWidth="1"/>
    <col min="2055" max="2304" width="9" style="73" customWidth="1"/>
    <col min="2305" max="2305" width="28.125" style="73" customWidth="1"/>
    <col min="2306" max="2306" width="10" style="73" customWidth="1"/>
    <col min="2307" max="2307" width="14.375" style="73" customWidth="1"/>
    <col min="2308" max="2308" width="8" style="73" customWidth="1"/>
    <col min="2309" max="2309" width="38" style="73" customWidth="1"/>
    <col min="2310" max="2310" width="48.125" style="73" customWidth="1"/>
    <col min="2311" max="2560" width="9" style="73" customWidth="1"/>
    <col min="2561" max="2561" width="28.125" style="73" customWidth="1"/>
    <col min="2562" max="2562" width="10" style="73" customWidth="1"/>
    <col min="2563" max="2563" width="14.375" style="73" customWidth="1"/>
    <col min="2564" max="2564" width="8" style="73" customWidth="1"/>
    <col min="2565" max="2565" width="38" style="73" customWidth="1"/>
    <col min="2566" max="2566" width="48.125" style="73" customWidth="1"/>
    <col min="2567" max="2816" width="9" style="73" customWidth="1"/>
    <col min="2817" max="2817" width="28.125" style="73" customWidth="1"/>
    <col min="2818" max="2818" width="10" style="73" customWidth="1"/>
    <col min="2819" max="2819" width="14.375" style="73" customWidth="1"/>
    <col min="2820" max="2820" width="8" style="73" customWidth="1"/>
    <col min="2821" max="2821" width="38" style="73" customWidth="1"/>
    <col min="2822" max="2822" width="48.125" style="73" customWidth="1"/>
    <col min="2823" max="3072" width="9" style="73" customWidth="1"/>
    <col min="3073" max="3073" width="28.125" style="73" customWidth="1"/>
    <col min="3074" max="3074" width="10" style="73" customWidth="1"/>
    <col min="3075" max="3075" width="14.375" style="73" customWidth="1"/>
    <col min="3076" max="3076" width="8" style="73" customWidth="1"/>
    <col min="3077" max="3077" width="38" style="73" customWidth="1"/>
    <col min="3078" max="3078" width="48.125" style="73" customWidth="1"/>
    <col min="3079" max="3328" width="9" style="73" customWidth="1"/>
    <col min="3329" max="3329" width="28.125" style="73" customWidth="1"/>
    <col min="3330" max="3330" width="10" style="73" customWidth="1"/>
    <col min="3331" max="3331" width="14.375" style="73" customWidth="1"/>
    <col min="3332" max="3332" width="8" style="73" customWidth="1"/>
    <col min="3333" max="3333" width="38" style="73" customWidth="1"/>
    <col min="3334" max="3334" width="48.125" style="73" customWidth="1"/>
    <col min="3335" max="3584" width="9" style="73" customWidth="1"/>
    <col min="3585" max="3585" width="28.125" style="73" customWidth="1"/>
    <col min="3586" max="3586" width="10" style="73" customWidth="1"/>
    <col min="3587" max="3587" width="14.375" style="73" customWidth="1"/>
    <col min="3588" max="3588" width="8" style="73" customWidth="1"/>
    <col min="3589" max="3589" width="38" style="73" customWidth="1"/>
    <col min="3590" max="3590" width="48.125" style="73" customWidth="1"/>
    <col min="3591" max="3840" width="9" style="73" customWidth="1"/>
    <col min="3841" max="3841" width="28.125" style="73" customWidth="1"/>
    <col min="3842" max="3842" width="10" style="73" customWidth="1"/>
    <col min="3843" max="3843" width="14.375" style="73" customWidth="1"/>
    <col min="3844" max="3844" width="8" style="73" customWidth="1"/>
    <col min="3845" max="3845" width="38" style="73" customWidth="1"/>
    <col min="3846" max="3846" width="48.125" style="73" customWidth="1"/>
    <col min="3847" max="4096" width="9" style="73" customWidth="1"/>
    <col min="4097" max="4097" width="28.125" style="73" customWidth="1"/>
    <col min="4098" max="4098" width="10" style="73" customWidth="1"/>
    <col min="4099" max="4099" width="14.375" style="73" customWidth="1"/>
    <col min="4100" max="4100" width="8" style="73" customWidth="1"/>
    <col min="4101" max="4101" width="38" style="73" customWidth="1"/>
    <col min="4102" max="4102" width="48.125" style="73" customWidth="1"/>
    <col min="4103" max="4352" width="9" style="73" customWidth="1"/>
    <col min="4353" max="4353" width="28.125" style="73" customWidth="1"/>
    <col min="4354" max="4354" width="10" style="73" customWidth="1"/>
    <col min="4355" max="4355" width="14.375" style="73" customWidth="1"/>
    <col min="4356" max="4356" width="8" style="73" customWidth="1"/>
    <col min="4357" max="4357" width="38" style="73" customWidth="1"/>
    <col min="4358" max="4358" width="48.125" style="73" customWidth="1"/>
    <col min="4359" max="4608" width="9" style="73" customWidth="1"/>
    <col min="4609" max="4609" width="28.125" style="73" customWidth="1"/>
    <col min="4610" max="4610" width="10" style="73" customWidth="1"/>
    <col min="4611" max="4611" width="14.375" style="73" customWidth="1"/>
    <col min="4612" max="4612" width="8" style="73" customWidth="1"/>
    <col min="4613" max="4613" width="38" style="73" customWidth="1"/>
    <col min="4614" max="4614" width="48.125" style="73" customWidth="1"/>
    <col min="4615" max="4864" width="9" style="73" customWidth="1"/>
    <col min="4865" max="4865" width="28.125" style="73" customWidth="1"/>
    <col min="4866" max="4866" width="10" style="73" customWidth="1"/>
    <col min="4867" max="4867" width="14.375" style="73" customWidth="1"/>
    <col min="4868" max="4868" width="8" style="73" customWidth="1"/>
    <col min="4869" max="4869" width="38" style="73" customWidth="1"/>
    <col min="4870" max="4870" width="48.125" style="73" customWidth="1"/>
    <col min="4871" max="5120" width="9" style="73" customWidth="1"/>
    <col min="5121" max="5121" width="28.125" style="73" customWidth="1"/>
    <col min="5122" max="5122" width="10" style="73" customWidth="1"/>
    <col min="5123" max="5123" width="14.375" style="73" customWidth="1"/>
    <col min="5124" max="5124" width="8" style="73" customWidth="1"/>
    <col min="5125" max="5125" width="38" style="73" customWidth="1"/>
    <col min="5126" max="5126" width="48.125" style="73" customWidth="1"/>
    <col min="5127" max="5376" width="9" style="73" customWidth="1"/>
    <col min="5377" max="5377" width="28.125" style="73" customWidth="1"/>
    <col min="5378" max="5378" width="10" style="73" customWidth="1"/>
    <col min="5379" max="5379" width="14.375" style="73" customWidth="1"/>
    <col min="5380" max="5380" width="8" style="73" customWidth="1"/>
    <col min="5381" max="5381" width="38" style="73" customWidth="1"/>
    <col min="5382" max="5382" width="48.125" style="73" customWidth="1"/>
    <col min="5383" max="5632" width="9" style="73" customWidth="1"/>
    <col min="5633" max="5633" width="28.125" style="73" customWidth="1"/>
    <col min="5634" max="5634" width="10" style="73" customWidth="1"/>
    <col min="5635" max="5635" width="14.375" style="73" customWidth="1"/>
    <col min="5636" max="5636" width="8" style="73" customWidth="1"/>
    <col min="5637" max="5637" width="38" style="73" customWidth="1"/>
    <col min="5638" max="5638" width="48.125" style="73" customWidth="1"/>
    <col min="5639" max="5888" width="9" style="73" customWidth="1"/>
    <col min="5889" max="5889" width="28.125" style="73" customWidth="1"/>
    <col min="5890" max="5890" width="10" style="73" customWidth="1"/>
    <col min="5891" max="5891" width="14.375" style="73" customWidth="1"/>
    <col min="5892" max="5892" width="8" style="73" customWidth="1"/>
    <col min="5893" max="5893" width="38" style="73" customWidth="1"/>
    <col min="5894" max="5894" width="48.125" style="73" customWidth="1"/>
    <col min="5895" max="6144" width="9" style="73" customWidth="1"/>
    <col min="6145" max="6145" width="28.125" style="73" customWidth="1"/>
    <col min="6146" max="6146" width="10" style="73" customWidth="1"/>
    <col min="6147" max="6147" width="14.375" style="73" customWidth="1"/>
    <col min="6148" max="6148" width="8" style="73" customWidth="1"/>
    <col min="6149" max="6149" width="38" style="73" customWidth="1"/>
    <col min="6150" max="6150" width="48.125" style="73" customWidth="1"/>
    <col min="6151" max="6400" width="9" style="73" customWidth="1"/>
    <col min="6401" max="6401" width="28.125" style="73" customWidth="1"/>
    <col min="6402" max="6402" width="10" style="73" customWidth="1"/>
    <col min="6403" max="6403" width="14.375" style="73" customWidth="1"/>
    <col min="6404" max="6404" width="8" style="73" customWidth="1"/>
    <col min="6405" max="6405" width="38" style="73" customWidth="1"/>
    <col min="6406" max="6406" width="48.125" style="73" customWidth="1"/>
    <col min="6407" max="6656" width="9" style="73" customWidth="1"/>
    <col min="6657" max="6657" width="28.125" style="73" customWidth="1"/>
    <col min="6658" max="6658" width="10" style="73" customWidth="1"/>
    <col min="6659" max="6659" width="14.375" style="73" customWidth="1"/>
    <col min="6660" max="6660" width="8" style="73" customWidth="1"/>
    <col min="6661" max="6661" width="38" style="73" customWidth="1"/>
    <col min="6662" max="6662" width="48.125" style="73" customWidth="1"/>
    <col min="6663" max="6912" width="9" style="73" customWidth="1"/>
    <col min="6913" max="6913" width="28.125" style="73" customWidth="1"/>
    <col min="6914" max="6914" width="10" style="73" customWidth="1"/>
    <col min="6915" max="6915" width="14.375" style="73" customWidth="1"/>
    <col min="6916" max="6916" width="8" style="73" customWidth="1"/>
    <col min="6917" max="6917" width="38" style="73" customWidth="1"/>
    <col min="6918" max="6918" width="48.125" style="73" customWidth="1"/>
    <col min="6919" max="7168" width="9" style="73" customWidth="1"/>
    <col min="7169" max="7169" width="28.125" style="73" customWidth="1"/>
    <col min="7170" max="7170" width="10" style="73" customWidth="1"/>
    <col min="7171" max="7171" width="14.375" style="73" customWidth="1"/>
    <col min="7172" max="7172" width="8" style="73" customWidth="1"/>
    <col min="7173" max="7173" width="38" style="73" customWidth="1"/>
    <col min="7174" max="7174" width="48.125" style="73" customWidth="1"/>
    <col min="7175" max="7424" width="9" style="73" customWidth="1"/>
    <col min="7425" max="7425" width="28.125" style="73" customWidth="1"/>
    <col min="7426" max="7426" width="10" style="73" customWidth="1"/>
    <col min="7427" max="7427" width="14.375" style="73" customWidth="1"/>
    <col min="7428" max="7428" width="8" style="73" customWidth="1"/>
    <col min="7429" max="7429" width="38" style="73" customWidth="1"/>
    <col min="7430" max="7430" width="48.125" style="73" customWidth="1"/>
    <col min="7431" max="7680" width="9" style="73" customWidth="1"/>
    <col min="7681" max="7681" width="28.125" style="73" customWidth="1"/>
    <col min="7682" max="7682" width="10" style="73" customWidth="1"/>
    <col min="7683" max="7683" width="14.375" style="73" customWidth="1"/>
    <col min="7684" max="7684" width="8" style="73" customWidth="1"/>
    <col min="7685" max="7685" width="38" style="73" customWidth="1"/>
    <col min="7686" max="7686" width="48.125" style="73" customWidth="1"/>
    <col min="7687" max="7936" width="9" style="73" customWidth="1"/>
    <col min="7937" max="7937" width="28.125" style="73" customWidth="1"/>
    <col min="7938" max="7938" width="10" style="73" customWidth="1"/>
    <col min="7939" max="7939" width="14.375" style="73" customWidth="1"/>
    <col min="7940" max="7940" width="8" style="73" customWidth="1"/>
    <col min="7941" max="7941" width="38" style="73" customWidth="1"/>
    <col min="7942" max="7942" width="48.125" style="73" customWidth="1"/>
    <col min="7943" max="8192" width="9" style="73" customWidth="1"/>
    <col min="8193" max="8193" width="28.125" style="73" customWidth="1"/>
    <col min="8194" max="8194" width="10" style="73" customWidth="1"/>
    <col min="8195" max="8195" width="14.375" style="73" customWidth="1"/>
    <col min="8196" max="8196" width="8" style="73" customWidth="1"/>
    <col min="8197" max="8197" width="38" style="73" customWidth="1"/>
    <col min="8198" max="8198" width="48.125" style="73" customWidth="1"/>
    <col min="8199" max="8448" width="9" style="73" customWidth="1"/>
    <col min="8449" max="8449" width="28.125" style="73" customWidth="1"/>
    <col min="8450" max="8450" width="10" style="73" customWidth="1"/>
    <col min="8451" max="8451" width="14.375" style="73" customWidth="1"/>
    <col min="8452" max="8452" width="8" style="73" customWidth="1"/>
    <col min="8453" max="8453" width="38" style="73" customWidth="1"/>
    <col min="8454" max="8454" width="48.125" style="73" customWidth="1"/>
    <col min="8455" max="8704" width="9" style="73" customWidth="1"/>
    <col min="8705" max="8705" width="28.125" style="73" customWidth="1"/>
    <col min="8706" max="8706" width="10" style="73" customWidth="1"/>
    <col min="8707" max="8707" width="14.375" style="73" customWidth="1"/>
    <col min="8708" max="8708" width="8" style="73" customWidth="1"/>
    <col min="8709" max="8709" width="38" style="73" customWidth="1"/>
    <col min="8710" max="8710" width="48.125" style="73" customWidth="1"/>
    <col min="8711" max="8960" width="9" style="73" customWidth="1"/>
    <col min="8961" max="8961" width="28.125" style="73" customWidth="1"/>
    <col min="8962" max="8962" width="10" style="73" customWidth="1"/>
    <col min="8963" max="8963" width="14.375" style="73" customWidth="1"/>
    <col min="8964" max="8964" width="8" style="73" customWidth="1"/>
    <col min="8965" max="8965" width="38" style="73" customWidth="1"/>
    <col min="8966" max="8966" width="48.125" style="73" customWidth="1"/>
    <col min="8967" max="9216" width="9" style="73" customWidth="1"/>
    <col min="9217" max="9217" width="28.125" style="73" customWidth="1"/>
    <col min="9218" max="9218" width="10" style="73" customWidth="1"/>
    <col min="9219" max="9219" width="14.375" style="73" customWidth="1"/>
    <col min="9220" max="9220" width="8" style="73" customWidth="1"/>
    <col min="9221" max="9221" width="38" style="73" customWidth="1"/>
    <col min="9222" max="9222" width="48.125" style="73" customWidth="1"/>
    <col min="9223" max="9472" width="9" style="73" customWidth="1"/>
    <col min="9473" max="9473" width="28.125" style="73" customWidth="1"/>
    <col min="9474" max="9474" width="10" style="73" customWidth="1"/>
    <col min="9475" max="9475" width="14.375" style="73" customWidth="1"/>
    <col min="9476" max="9476" width="8" style="73" customWidth="1"/>
    <col min="9477" max="9477" width="38" style="73" customWidth="1"/>
    <col min="9478" max="9478" width="48.125" style="73" customWidth="1"/>
    <col min="9479" max="9728" width="9" style="73" customWidth="1"/>
    <col min="9729" max="9729" width="28.125" style="73" customWidth="1"/>
    <col min="9730" max="9730" width="10" style="73" customWidth="1"/>
    <col min="9731" max="9731" width="14.375" style="73" customWidth="1"/>
    <col min="9732" max="9732" width="8" style="73" customWidth="1"/>
    <col min="9733" max="9733" width="38" style="73" customWidth="1"/>
    <col min="9734" max="9734" width="48.125" style="73" customWidth="1"/>
    <col min="9735" max="9984" width="9" style="73" customWidth="1"/>
    <col min="9985" max="9985" width="28.125" style="73" customWidth="1"/>
    <col min="9986" max="9986" width="10" style="73" customWidth="1"/>
    <col min="9987" max="9987" width="14.375" style="73" customWidth="1"/>
    <col min="9988" max="9988" width="8" style="73" customWidth="1"/>
    <col min="9989" max="9989" width="38" style="73" customWidth="1"/>
    <col min="9990" max="9990" width="48.125" style="73" customWidth="1"/>
    <col min="9991" max="10240" width="9" style="73" customWidth="1"/>
    <col min="10241" max="10241" width="28.125" style="73" customWidth="1"/>
    <col min="10242" max="10242" width="10" style="73" customWidth="1"/>
    <col min="10243" max="10243" width="14.375" style="73" customWidth="1"/>
    <col min="10244" max="10244" width="8" style="73" customWidth="1"/>
    <col min="10245" max="10245" width="38" style="73" customWidth="1"/>
    <col min="10246" max="10246" width="48.125" style="73" customWidth="1"/>
    <col min="10247" max="10496" width="9" style="73" customWidth="1"/>
    <col min="10497" max="10497" width="28.125" style="73" customWidth="1"/>
    <col min="10498" max="10498" width="10" style="73" customWidth="1"/>
    <col min="10499" max="10499" width="14.375" style="73" customWidth="1"/>
    <col min="10500" max="10500" width="8" style="73" customWidth="1"/>
    <col min="10501" max="10501" width="38" style="73" customWidth="1"/>
    <col min="10502" max="10502" width="48.125" style="73" customWidth="1"/>
    <col min="10503" max="10752" width="9" style="73" customWidth="1"/>
    <col min="10753" max="10753" width="28.125" style="73" customWidth="1"/>
    <col min="10754" max="10754" width="10" style="73" customWidth="1"/>
    <col min="10755" max="10755" width="14.375" style="73" customWidth="1"/>
    <col min="10756" max="10756" width="8" style="73" customWidth="1"/>
    <col min="10757" max="10757" width="38" style="73" customWidth="1"/>
    <col min="10758" max="10758" width="48.125" style="73" customWidth="1"/>
    <col min="10759" max="11008" width="9" style="73" customWidth="1"/>
    <col min="11009" max="11009" width="28.125" style="73" customWidth="1"/>
    <col min="11010" max="11010" width="10" style="73" customWidth="1"/>
    <col min="11011" max="11011" width="14.375" style="73" customWidth="1"/>
    <col min="11012" max="11012" width="8" style="73" customWidth="1"/>
    <col min="11013" max="11013" width="38" style="73" customWidth="1"/>
    <col min="11014" max="11014" width="48.125" style="73" customWidth="1"/>
    <col min="11015" max="11264" width="9" style="73" customWidth="1"/>
    <col min="11265" max="11265" width="28.125" style="73" customWidth="1"/>
    <col min="11266" max="11266" width="10" style="73" customWidth="1"/>
    <col min="11267" max="11267" width="14.375" style="73" customWidth="1"/>
    <col min="11268" max="11268" width="8" style="73" customWidth="1"/>
    <col min="11269" max="11269" width="38" style="73" customWidth="1"/>
    <col min="11270" max="11270" width="48.125" style="73" customWidth="1"/>
    <col min="11271" max="11520" width="9" style="73" customWidth="1"/>
    <col min="11521" max="11521" width="28.125" style="73" customWidth="1"/>
    <col min="11522" max="11522" width="10" style="73" customWidth="1"/>
    <col min="11523" max="11523" width="14.375" style="73" customWidth="1"/>
    <col min="11524" max="11524" width="8" style="73" customWidth="1"/>
    <col min="11525" max="11525" width="38" style="73" customWidth="1"/>
    <col min="11526" max="11526" width="48.125" style="73" customWidth="1"/>
    <col min="11527" max="11776" width="9" style="73" customWidth="1"/>
    <col min="11777" max="11777" width="28.125" style="73" customWidth="1"/>
    <col min="11778" max="11778" width="10" style="73" customWidth="1"/>
    <col min="11779" max="11779" width="14.375" style="73" customWidth="1"/>
    <col min="11780" max="11780" width="8" style="73" customWidth="1"/>
    <col min="11781" max="11781" width="38" style="73" customWidth="1"/>
    <col min="11782" max="11782" width="48.125" style="73" customWidth="1"/>
    <col min="11783" max="12032" width="9" style="73" customWidth="1"/>
    <col min="12033" max="12033" width="28.125" style="73" customWidth="1"/>
    <col min="12034" max="12034" width="10" style="73" customWidth="1"/>
    <col min="12035" max="12035" width="14.375" style="73" customWidth="1"/>
    <col min="12036" max="12036" width="8" style="73" customWidth="1"/>
    <col min="12037" max="12037" width="38" style="73" customWidth="1"/>
    <col min="12038" max="12038" width="48.125" style="73" customWidth="1"/>
    <col min="12039" max="12288" width="9" style="73" customWidth="1"/>
    <col min="12289" max="12289" width="28.125" style="73" customWidth="1"/>
    <col min="12290" max="12290" width="10" style="73" customWidth="1"/>
    <col min="12291" max="12291" width="14.375" style="73" customWidth="1"/>
    <col min="12292" max="12292" width="8" style="73" customWidth="1"/>
    <col min="12293" max="12293" width="38" style="73" customWidth="1"/>
    <col min="12294" max="12294" width="48.125" style="73" customWidth="1"/>
    <col min="12295" max="12544" width="9" style="73" customWidth="1"/>
    <col min="12545" max="12545" width="28.125" style="73" customWidth="1"/>
    <col min="12546" max="12546" width="10" style="73" customWidth="1"/>
    <col min="12547" max="12547" width="14.375" style="73" customWidth="1"/>
    <col min="12548" max="12548" width="8" style="73" customWidth="1"/>
    <col min="12549" max="12549" width="38" style="73" customWidth="1"/>
    <col min="12550" max="12550" width="48.125" style="73" customWidth="1"/>
    <col min="12551" max="12800" width="9" style="73" customWidth="1"/>
    <col min="12801" max="12801" width="28.125" style="73" customWidth="1"/>
    <col min="12802" max="12802" width="10" style="73" customWidth="1"/>
    <col min="12803" max="12803" width="14.375" style="73" customWidth="1"/>
    <col min="12804" max="12804" width="8" style="73" customWidth="1"/>
    <col min="12805" max="12805" width="38" style="73" customWidth="1"/>
    <col min="12806" max="12806" width="48.125" style="73" customWidth="1"/>
    <col min="12807" max="13056" width="9" style="73" customWidth="1"/>
    <col min="13057" max="13057" width="28.125" style="73" customWidth="1"/>
    <col min="13058" max="13058" width="10" style="73" customWidth="1"/>
    <col min="13059" max="13059" width="14.375" style="73" customWidth="1"/>
    <col min="13060" max="13060" width="8" style="73" customWidth="1"/>
    <col min="13061" max="13061" width="38" style="73" customWidth="1"/>
    <col min="13062" max="13062" width="48.125" style="73" customWidth="1"/>
    <col min="13063" max="13312" width="9" style="73" customWidth="1"/>
    <col min="13313" max="13313" width="28.125" style="73" customWidth="1"/>
    <col min="13314" max="13314" width="10" style="73" customWidth="1"/>
    <col min="13315" max="13315" width="14.375" style="73" customWidth="1"/>
    <col min="13316" max="13316" width="8" style="73" customWidth="1"/>
    <col min="13317" max="13317" width="38" style="73" customWidth="1"/>
    <col min="13318" max="13318" width="48.125" style="73" customWidth="1"/>
    <col min="13319" max="13568" width="9" style="73" customWidth="1"/>
    <col min="13569" max="13569" width="28.125" style="73" customWidth="1"/>
    <col min="13570" max="13570" width="10" style="73" customWidth="1"/>
    <col min="13571" max="13571" width="14.375" style="73" customWidth="1"/>
    <col min="13572" max="13572" width="8" style="73" customWidth="1"/>
    <col min="13573" max="13573" width="38" style="73" customWidth="1"/>
    <col min="13574" max="13574" width="48.125" style="73" customWidth="1"/>
    <col min="13575" max="13824" width="9" style="73" customWidth="1"/>
    <col min="13825" max="13825" width="28.125" style="73" customWidth="1"/>
    <col min="13826" max="13826" width="10" style="73" customWidth="1"/>
    <col min="13827" max="13827" width="14.375" style="73" customWidth="1"/>
    <col min="13828" max="13828" width="8" style="73" customWidth="1"/>
    <col min="13829" max="13829" width="38" style="73" customWidth="1"/>
    <col min="13830" max="13830" width="48.125" style="73" customWidth="1"/>
    <col min="13831" max="14080" width="9" style="73" customWidth="1"/>
    <col min="14081" max="14081" width="28.125" style="73" customWidth="1"/>
    <col min="14082" max="14082" width="10" style="73" customWidth="1"/>
    <col min="14083" max="14083" width="14.375" style="73" customWidth="1"/>
    <col min="14084" max="14084" width="8" style="73" customWidth="1"/>
    <col min="14085" max="14085" width="38" style="73" customWidth="1"/>
    <col min="14086" max="14086" width="48.125" style="73" customWidth="1"/>
    <col min="14087" max="14336" width="9" style="73" customWidth="1"/>
    <col min="14337" max="14337" width="28.125" style="73" customWidth="1"/>
    <col min="14338" max="14338" width="10" style="73" customWidth="1"/>
    <col min="14339" max="14339" width="14.375" style="73" customWidth="1"/>
    <col min="14340" max="14340" width="8" style="73" customWidth="1"/>
    <col min="14341" max="14341" width="38" style="73" customWidth="1"/>
    <col min="14342" max="14342" width="48.125" style="73" customWidth="1"/>
    <col min="14343" max="14592" width="9" style="73" customWidth="1"/>
    <col min="14593" max="14593" width="28.125" style="73" customWidth="1"/>
    <col min="14594" max="14594" width="10" style="73" customWidth="1"/>
    <col min="14595" max="14595" width="14.375" style="73" customWidth="1"/>
    <col min="14596" max="14596" width="8" style="73" customWidth="1"/>
    <col min="14597" max="14597" width="38" style="73" customWidth="1"/>
    <col min="14598" max="14598" width="48.125" style="73" customWidth="1"/>
    <col min="14599" max="14848" width="9" style="73" customWidth="1"/>
    <col min="14849" max="14849" width="28.125" style="73" customWidth="1"/>
    <col min="14850" max="14850" width="10" style="73" customWidth="1"/>
    <col min="14851" max="14851" width="14.375" style="73" customWidth="1"/>
    <col min="14852" max="14852" width="8" style="73" customWidth="1"/>
    <col min="14853" max="14853" width="38" style="73" customWidth="1"/>
    <col min="14854" max="14854" width="48.125" style="73" customWidth="1"/>
    <col min="14855" max="15104" width="9" style="73" customWidth="1"/>
    <col min="15105" max="15105" width="28.125" style="73" customWidth="1"/>
    <col min="15106" max="15106" width="10" style="73" customWidth="1"/>
    <col min="15107" max="15107" width="14.375" style="73" customWidth="1"/>
    <col min="15108" max="15108" width="8" style="73" customWidth="1"/>
    <col min="15109" max="15109" width="38" style="73" customWidth="1"/>
    <col min="15110" max="15110" width="48.125" style="73" customWidth="1"/>
    <col min="15111" max="15360" width="9" style="73" customWidth="1"/>
    <col min="15361" max="15361" width="28.125" style="73" customWidth="1"/>
    <col min="15362" max="15362" width="10" style="73" customWidth="1"/>
    <col min="15363" max="15363" width="14.375" style="73" customWidth="1"/>
    <col min="15364" max="15364" width="8" style="73" customWidth="1"/>
    <col min="15365" max="15365" width="38" style="73" customWidth="1"/>
    <col min="15366" max="15366" width="48.125" style="73" customWidth="1"/>
    <col min="15367" max="15616" width="9" style="73" customWidth="1"/>
    <col min="15617" max="15617" width="28.125" style="73" customWidth="1"/>
    <col min="15618" max="15618" width="10" style="73" customWidth="1"/>
    <col min="15619" max="15619" width="14.375" style="73" customWidth="1"/>
    <col min="15620" max="15620" width="8" style="73" customWidth="1"/>
    <col min="15621" max="15621" width="38" style="73" customWidth="1"/>
    <col min="15622" max="15622" width="48.125" style="73" customWidth="1"/>
    <col min="15623" max="15872" width="9" style="73" customWidth="1"/>
    <col min="15873" max="15873" width="28.125" style="73" customWidth="1"/>
    <col min="15874" max="15874" width="10" style="73" customWidth="1"/>
    <col min="15875" max="15875" width="14.375" style="73" customWidth="1"/>
    <col min="15876" max="15876" width="8" style="73" customWidth="1"/>
    <col min="15877" max="15877" width="38" style="73" customWidth="1"/>
    <col min="15878" max="15878" width="48.125" style="73" customWidth="1"/>
    <col min="15879" max="16128" width="9" style="73" customWidth="1"/>
    <col min="16129" max="16129" width="28.125" style="73" customWidth="1"/>
    <col min="16130" max="16130" width="10" style="73" customWidth="1"/>
    <col min="16131" max="16131" width="14.375" style="73" customWidth="1"/>
    <col min="16132" max="16132" width="8" style="73" customWidth="1"/>
    <col min="16133" max="16133" width="38" style="73" customWidth="1"/>
    <col min="16134" max="16134" width="48.125" style="73" customWidth="1"/>
    <col min="16135" max="16384" width="9" style="73" customWidth="1"/>
  </cols>
  <sheetData>
    <row r="2" spans="1:6" s="70" customFormat="1" ht="75.75" customHeight="1">
      <c r="A2" s="69"/>
      <c r="B2" s="121" t="s">
        <v>0</v>
      </c>
      <c r="C2" s="122"/>
      <c r="D2" s="122"/>
      <c r="E2" s="122"/>
      <c r="F2" s="123"/>
    </row>
    <row r="3" spans="1:6">
      <c r="A3" s="71"/>
      <c r="B3" s="72"/>
      <c r="E3" s="74"/>
    </row>
    <row r="4" spans="1:6" ht="14.25" customHeight="1">
      <c r="A4" s="75" t="s">
        <v>1</v>
      </c>
      <c r="B4" s="125" t="s">
        <v>2</v>
      </c>
      <c r="C4" s="122"/>
      <c r="D4" s="123"/>
      <c r="E4" s="75" t="s">
        <v>3</v>
      </c>
      <c r="F4" s="95" t="s">
        <v>654</v>
      </c>
    </row>
    <row r="5" spans="1:6" ht="14.25" customHeight="1">
      <c r="A5" s="75" t="s">
        <v>4</v>
      </c>
      <c r="B5" s="125" t="s">
        <v>2146</v>
      </c>
      <c r="C5" s="122"/>
      <c r="D5" s="123"/>
      <c r="E5" s="75" t="s">
        <v>5</v>
      </c>
      <c r="F5" s="96" t="s">
        <v>2147</v>
      </c>
    </row>
    <row r="6" spans="1:6" ht="15.75" customHeight="1">
      <c r="A6" s="76" t="s">
        <v>7</v>
      </c>
      <c r="B6" s="124" t="str">
        <f>B5&amp;"_Test Report_"&amp;F6</f>
        <v>SA_Test Report_v1.0</v>
      </c>
      <c r="C6" s="122"/>
      <c r="D6" s="123"/>
      <c r="E6" s="75" t="s">
        <v>8</v>
      </c>
      <c r="F6" s="97" t="s">
        <v>9</v>
      </c>
    </row>
    <row r="7" spans="1:6">
      <c r="A7" s="77"/>
      <c r="B7" s="78"/>
      <c r="E7" s="79"/>
      <c r="F7" s="72"/>
    </row>
    <row r="8" spans="1:6">
      <c r="A8" s="73"/>
    </row>
    <row r="9" spans="1:6">
      <c r="A9" s="80" t="s">
        <v>10</v>
      </c>
    </row>
    <row r="10" spans="1:6" s="84" customFormat="1">
      <c r="A10" s="81" t="s">
        <v>11</v>
      </c>
      <c r="B10" s="82" t="s">
        <v>8</v>
      </c>
      <c r="C10" s="82" t="s">
        <v>12</v>
      </c>
      <c r="D10" s="82" t="s">
        <v>13</v>
      </c>
      <c r="E10" s="82" t="s">
        <v>14</v>
      </c>
      <c r="F10" s="83" t="s">
        <v>15</v>
      </c>
    </row>
    <row r="11" spans="1:6" s="87" customFormat="1" ht="26.25" customHeight="1">
      <c r="A11" s="98" t="s">
        <v>6</v>
      </c>
      <c r="B11" s="99" t="s">
        <v>9</v>
      </c>
      <c r="C11" s="100" t="s">
        <v>16</v>
      </c>
      <c r="D11" s="100" t="s">
        <v>17</v>
      </c>
      <c r="E11" s="101" t="s">
        <v>18</v>
      </c>
      <c r="F11" s="102" t="s">
        <v>19</v>
      </c>
    </row>
    <row r="12" spans="1:6" s="87" customFormat="1" ht="21.75" customHeight="1">
      <c r="A12" s="88"/>
      <c r="B12" s="85"/>
      <c r="C12" s="86"/>
      <c r="D12" s="86"/>
      <c r="E12" s="86"/>
      <c r="F12" s="89"/>
    </row>
    <row r="13" spans="1:6" s="87" customFormat="1" ht="19.5" customHeight="1">
      <c r="A13" s="88"/>
      <c r="B13" s="85"/>
      <c r="C13" s="86"/>
      <c r="D13" s="86"/>
      <c r="E13" s="86"/>
      <c r="F13" s="89"/>
    </row>
    <row r="14" spans="1:6" s="87" customFormat="1" ht="21.75" customHeight="1">
      <c r="A14" s="88"/>
      <c r="B14" s="85"/>
      <c r="C14" s="86"/>
      <c r="D14" s="86"/>
      <c r="E14" s="86"/>
      <c r="F14" s="89"/>
    </row>
    <row r="15" spans="1:6" s="87" customFormat="1" ht="19.5" customHeight="1">
      <c r="A15" s="88"/>
      <c r="B15" s="85"/>
      <c r="C15" s="86"/>
      <c r="D15" s="86"/>
      <c r="E15" s="86"/>
      <c r="F15" s="89"/>
    </row>
    <row r="16" spans="1:6" s="87" customFormat="1" ht="21.75" customHeight="1">
      <c r="A16" s="88"/>
      <c r="B16" s="85"/>
      <c r="C16" s="86"/>
      <c r="D16" s="86"/>
      <c r="E16" s="86"/>
      <c r="F16" s="89"/>
    </row>
    <row r="17" spans="1:6" s="87" customFormat="1" ht="19.5" customHeight="1">
      <c r="A17" s="90"/>
      <c r="B17" s="91"/>
      <c r="C17" s="92"/>
      <c r="D17" s="92"/>
      <c r="E17" s="92"/>
      <c r="F17" s="93"/>
    </row>
  </sheetData>
  <mergeCells count="4">
    <mergeCell ref="B2:F2"/>
    <mergeCell ref="B6:D6"/>
    <mergeCell ref="B5:D5"/>
    <mergeCell ref="B4:D4"/>
  </mergeCells>
  <pageMargins left="0.47013888888888888" right="0.47013888888888888" top="0.5" bottom="0.35138888888888892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 Internal use&amp;R&amp;"tahomaTahoma,Regular"&amp;8 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61"/>
  <sheetViews>
    <sheetView workbookViewId="0">
      <selection activeCell="D5" sqref="D5:F5"/>
    </sheetView>
  </sheetViews>
  <sheetFormatPr defaultColWidth="9" defaultRowHeight="12.75"/>
  <cols>
    <col min="1" max="1" width="1.375" style="1" customWidth="1"/>
    <col min="2" max="2" width="11.875" style="3" customWidth="1"/>
    <col min="3" max="3" width="26.5" style="4" customWidth="1"/>
    <col min="4" max="4" width="17.125" style="4" customWidth="1"/>
    <col min="5" max="5" width="28.125" style="4" customWidth="1"/>
    <col min="6" max="6" width="30.625" style="4" customWidth="1"/>
    <col min="7" max="7" width="9" style="1" customWidth="1"/>
    <col min="8" max="16384" width="9" style="1"/>
  </cols>
  <sheetData>
    <row r="1" spans="2:6" ht="24.95" customHeight="1">
      <c r="B1" s="5"/>
      <c r="D1" s="6" t="s">
        <v>20</v>
      </c>
      <c r="E1" s="7"/>
    </row>
    <row r="2" spans="2:6" ht="13.5" customHeight="1">
      <c r="B2" s="5"/>
      <c r="D2" s="8"/>
      <c r="E2" s="8"/>
    </row>
    <row r="3" spans="2:6" ht="14.25">
      <c r="B3" s="127" t="s">
        <v>1</v>
      </c>
      <c r="C3" s="122"/>
      <c r="D3" s="129" t="str">
        <f>Cover!B4</f>
        <v>SmartHire-AI</v>
      </c>
      <c r="E3" s="122"/>
      <c r="F3" s="123"/>
    </row>
    <row r="4" spans="2:6" ht="14.25">
      <c r="B4" s="127" t="s">
        <v>4</v>
      </c>
      <c r="C4" s="122"/>
      <c r="D4" s="129" t="str">
        <f>IF(Cover!B5="","",Cover!B5)</f>
        <v>SA</v>
      </c>
      <c r="E4" s="122"/>
      <c r="F4" s="123"/>
    </row>
    <row r="5" spans="2:6" s="9" customFormat="1" ht="84.75" customHeight="1">
      <c r="B5" s="128" t="s">
        <v>21</v>
      </c>
      <c r="C5" s="123"/>
      <c r="D5" s="126" t="s">
        <v>22</v>
      </c>
      <c r="E5" s="122"/>
      <c r="F5" s="123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23</v>
      </c>
      <c r="C8" s="16" t="s">
        <v>24</v>
      </c>
      <c r="D8" s="16" t="s">
        <v>25</v>
      </c>
      <c r="E8" s="17" t="s">
        <v>26</v>
      </c>
      <c r="F8" s="18" t="s">
        <v>27</v>
      </c>
    </row>
    <row r="9" spans="2:6" ht="14.1" customHeight="1">
      <c r="B9" s="103">
        <v>1</v>
      </c>
      <c r="C9" s="104" t="s">
        <v>28</v>
      </c>
      <c r="D9" s="105" t="s">
        <v>29</v>
      </c>
      <c r="E9" s="106" t="s">
        <v>30</v>
      </c>
      <c r="F9" s="107" t="s">
        <v>31</v>
      </c>
    </row>
    <row r="10" spans="2:6" ht="14.1" customHeight="1">
      <c r="B10" s="103">
        <v>2</v>
      </c>
      <c r="C10" s="104" t="s">
        <v>32</v>
      </c>
      <c r="D10" s="105" t="s">
        <v>33</v>
      </c>
      <c r="E10" s="106" t="s">
        <v>34</v>
      </c>
      <c r="F10" s="107" t="s">
        <v>31</v>
      </c>
    </row>
    <row r="11" spans="2:6" ht="14.1" customHeight="1">
      <c r="B11" s="103">
        <v>3</v>
      </c>
      <c r="C11" s="104" t="s">
        <v>35</v>
      </c>
      <c r="D11" s="105" t="s">
        <v>36</v>
      </c>
      <c r="E11" s="106" t="s">
        <v>37</v>
      </c>
      <c r="F11" s="107" t="s">
        <v>31</v>
      </c>
    </row>
    <row r="12" spans="2:6" ht="14.1" customHeight="1">
      <c r="B12" s="103">
        <v>4</v>
      </c>
      <c r="C12" s="104" t="s">
        <v>38</v>
      </c>
      <c r="D12" s="105" t="s">
        <v>39</v>
      </c>
      <c r="E12" s="106" t="s">
        <v>40</v>
      </c>
      <c r="F12" s="107" t="s">
        <v>31</v>
      </c>
    </row>
    <row r="13" spans="2:6" ht="14.1" customHeight="1">
      <c r="B13" s="103">
        <v>5</v>
      </c>
      <c r="C13" s="104" t="s">
        <v>41</v>
      </c>
      <c r="D13" s="105" t="s">
        <v>42</v>
      </c>
      <c r="E13" s="106" t="s">
        <v>43</v>
      </c>
      <c r="F13" s="107" t="s">
        <v>31</v>
      </c>
    </row>
    <row r="14" spans="2:6" ht="13.5">
      <c r="B14" s="103">
        <v>6</v>
      </c>
      <c r="C14" s="104" t="s">
        <v>44</v>
      </c>
      <c r="D14" s="105" t="s">
        <v>45</v>
      </c>
      <c r="E14" s="106" t="s">
        <v>46</v>
      </c>
      <c r="F14" s="107" t="s">
        <v>31</v>
      </c>
    </row>
    <row r="15" spans="2:6" ht="13.5">
      <c r="B15" s="103">
        <v>7</v>
      </c>
      <c r="C15" s="104" t="s">
        <v>47</v>
      </c>
      <c r="D15" s="105" t="s">
        <v>48</v>
      </c>
      <c r="E15" s="106" t="s">
        <v>49</v>
      </c>
      <c r="F15" s="107" t="s">
        <v>31</v>
      </c>
    </row>
    <row r="16" spans="2:6" ht="13.5">
      <c r="B16" s="103">
        <v>8</v>
      </c>
      <c r="C16" s="104" t="s">
        <v>50</v>
      </c>
      <c r="D16" s="105" t="s">
        <v>51</v>
      </c>
      <c r="E16" s="106" t="s">
        <v>52</v>
      </c>
      <c r="F16" s="107" t="s">
        <v>31</v>
      </c>
    </row>
    <row r="17" spans="2:6" ht="13.5">
      <c r="B17" s="103">
        <v>9</v>
      </c>
      <c r="C17" s="104" t="s">
        <v>53</v>
      </c>
      <c r="D17" s="105" t="s">
        <v>54</v>
      </c>
      <c r="E17" s="106" t="s">
        <v>55</v>
      </c>
      <c r="F17" s="107" t="s">
        <v>56</v>
      </c>
    </row>
    <row r="18" spans="2:6" ht="13.5">
      <c r="B18" s="103">
        <v>10</v>
      </c>
      <c r="C18" s="104" t="s">
        <v>57</v>
      </c>
      <c r="D18" s="105" t="s">
        <v>58</v>
      </c>
      <c r="E18" s="106" t="s">
        <v>59</v>
      </c>
      <c r="F18" s="107" t="s">
        <v>56</v>
      </c>
    </row>
    <row r="19" spans="2:6" ht="13.5">
      <c r="B19" s="103">
        <v>11</v>
      </c>
      <c r="C19" s="104" t="s">
        <v>60</v>
      </c>
      <c r="D19" s="105" t="s">
        <v>61</v>
      </c>
      <c r="E19" s="106" t="s">
        <v>62</v>
      </c>
      <c r="F19" s="107" t="s">
        <v>56</v>
      </c>
    </row>
    <row r="20" spans="2:6" ht="13.5">
      <c r="B20" s="103">
        <v>12</v>
      </c>
      <c r="C20" s="104" t="s">
        <v>63</v>
      </c>
      <c r="D20" s="105" t="s">
        <v>64</v>
      </c>
      <c r="E20" s="106" t="s">
        <v>65</v>
      </c>
      <c r="F20" s="107" t="s">
        <v>66</v>
      </c>
    </row>
    <row r="21" spans="2:6" ht="13.5">
      <c r="B21" s="103">
        <v>13</v>
      </c>
      <c r="C21" s="104" t="s">
        <v>67</v>
      </c>
      <c r="D21" s="105" t="s">
        <v>68</v>
      </c>
      <c r="E21" s="106" t="s">
        <v>69</v>
      </c>
      <c r="F21" s="107" t="s">
        <v>56</v>
      </c>
    </row>
    <row r="22" spans="2:6" ht="13.5">
      <c r="B22" s="103">
        <v>14</v>
      </c>
      <c r="C22" s="104" t="s">
        <v>70</v>
      </c>
      <c r="D22" s="105" t="s">
        <v>71</v>
      </c>
      <c r="E22" s="106" t="s">
        <v>72</v>
      </c>
      <c r="F22" s="107" t="s">
        <v>56</v>
      </c>
    </row>
    <row r="23" spans="2:6" ht="13.5">
      <c r="B23" s="103">
        <v>15</v>
      </c>
      <c r="C23" s="104" t="s">
        <v>73</v>
      </c>
      <c r="D23" s="105" t="s">
        <v>74</v>
      </c>
      <c r="E23" s="106" t="s">
        <v>75</v>
      </c>
      <c r="F23" s="107" t="s">
        <v>76</v>
      </c>
    </row>
    <row r="24" spans="2:6" ht="13.5">
      <c r="B24" s="103">
        <v>16</v>
      </c>
      <c r="C24" s="104" t="s">
        <v>77</v>
      </c>
      <c r="D24" s="105" t="s">
        <v>78</v>
      </c>
      <c r="E24" s="106" t="s">
        <v>79</v>
      </c>
      <c r="F24" s="107" t="s">
        <v>56</v>
      </c>
    </row>
    <row r="25" spans="2:6" ht="13.5">
      <c r="B25" s="103">
        <v>17</v>
      </c>
      <c r="C25" s="104" t="s">
        <v>80</v>
      </c>
      <c r="D25" s="105" t="s">
        <v>81</v>
      </c>
      <c r="E25" s="106" t="s">
        <v>82</v>
      </c>
      <c r="F25" s="107" t="s">
        <v>76</v>
      </c>
    </row>
    <row r="26" spans="2:6" ht="13.5">
      <c r="B26" s="103">
        <v>18</v>
      </c>
      <c r="C26" s="104" t="s">
        <v>83</v>
      </c>
      <c r="D26" s="105" t="s">
        <v>84</v>
      </c>
      <c r="E26" s="106" t="s">
        <v>85</v>
      </c>
      <c r="F26" s="107" t="s">
        <v>76</v>
      </c>
    </row>
    <row r="27" spans="2:6" ht="13.5">
      <c r="B27" s="103">
        <v>19</v>
      </c>
      <c r="C27" s="104" t="s">
        <v>86</v>
      </c>
      <c r="D27" s="105" t="s">
        <v>87</v>
      </c>
      <c r="E27" s="106" t="s">
        <v>88</v>
      </c>
      <c r="F27" s="107" t="s">
        <v>89</v>
      </c>
    </row>
    <row r="28" spans="2:6" ht="13.5">
      <c r="B28" s="103">
        <v>20</v>
      </c>
      <c r="C28" s="104" t="s">
        <v>90</v>
      </c>
      <c r="D28" s="105" t="s">
        <v>91</v>
      </c>
      <c r="E28" s="106" t="s">
        <v>92</v>
      </c>
      <c r="F28" s="107" t="s">
        <v>76</v>
      </c>
    </row>
    <row r="29" spans="2:6" ht="13.5">
      <c r="B29" s="103">
        <v>21</v>
      </c>
      <c r="C29" s="104" t="s">
        <v>93</v>
      </c>
      <c r="D29" s="105" t="s">
        <v>94</v>
      </c>
      <c r="E29" s="106" t="s">
        <v>95</v>
      </c>
      <c r="F29" s="107" t="s">
        <v>89</v>
      </c>
    </row>
    <row r="30" spans="2:6" ht="13.5">
      <c r="B30" s="103">
        <v>22</v>
      </c>
      <c r="C30" s="104" t="s">
        <v>96</v>
      </c>
      <c r="D30" s="105" t="s">
        <v>97</v>
      </c>
      <c r="E30" s="106" t="s">
        <v>98</v>
      </c>
      <c r="F30" s="107" t="s">
        <v>56</v>
      </c>
    </row>
    <row r="31" spans="2:6" ht="13.5">
      <c r="B31" s="103">
        <v>23</v>
      </c>
      <c r="C31" s="104" t="s">
        <v>99</v>
      </c>
      <c r="D31" s="105" t="s">
        <v>100</v>
      </c>
      <c r="E31" s="106" t="s">
        <v>101</v>
      </c>
      <c r="F31" s="107" t="s">
        <v>56</v>
      </c>
    </row>
    <row r="32" spans="2:6" ht="13.5">
      <c r="B32" s="103">
        <v>24</v>
      </c>
      <c r="C32" s="104" t="s">
        <v>102</v>
      </c>
      <c r="D32" s="105" t="s">
        <v>103</v>
      </c>
      <c r="E32" s="106" t="s">
        <v>104</v>
      </c>
      <c r="F32" s="107" t="s">
        <v>56</v>
      </c>
    </row>
    <row r="33" spans="2:6" ht="13.5">
      <c r="B33" s="103">
        <v>25</v>
      </c>
      <c r="C33" s="104" t="s">
        <v>105</v>
      </c>
      <c r="D33" s="105" t="s">
        <v>106</v>
      </c>
      <c r="E33" s="106" t="s">
        <v>107</v>
      </c>
      <c r="F33" s="107" t="s">
        <v>56</v>
      </c>
    </row>
    <row r="34" spans="2:6" ht="13.5">
      <c r="B34" s="103">
        <v>26</v>
      </c>
      <c r="C34" s="104" t="s">
        <v>108</v>
      </c>
      <c r="D34" s="105" t="s">
        <v>109</v>
      </c>
      <c r="E34" s="106" t="s">
        <v>110</v>
      </c>
      <c r="F34" s="107" t="s">
        <v>56</v>
      </c>
    </row>
    <row r="35" spans="2:6" ht="13.5">
      <c r="B35" s="103">
        <v>27</v>
      </c>
      <c r="C35" s="104" t="s">
        <v>111</v>
      </c>
      <c r="D35" s="105" t="s">
        <v>112</v>
      </c>
      <c r="E35" s="106" t="s">
        <v>113</v>
      </c>
      <c r="F35" s="107" t="s">
        <v>66</v>
      </c>
    </row>
    <row r="36" spans="2:6" ht="13.5">
      <c r="B36" s="103">
        <v>28</v>
      </c>
      <c r="C36" s="104" t="s">
        <v>114</v>
      </c>
      <c r="D36" s="105" t="s">
        <v>115</v>
      </c>
      <c r="E36" s="106" t="s">
        <v>116</v>
      </c>
      <c r="F36" s="107" t="s">
        <v>76</v>
      </c>
    </row>
    <row r="37" spans="2:6" ht="13.5">
      <c r="B37" s="103">
        <v>29</v>
      </c>
      <c r="C37" s="104" t="s">
        <v>117</v>
      </c>
      <c r="D37" s="105" t="s">
        <v>118</v>
      </c>
      <c r="E37" s="106" t="s">
        <v>119</v>
      </c>
      <c r="F37" s="107" t="s">
        <v>76</v>
      </c>
    </row>
    <row r="38" spans="2:6" ht="13.5">
      <c r="B38" s="103">
        <v>30</v>
      </c>
      <c r="C38" s="104" t="s">
        <v>120</v>
      </c>
      <c r="D38" s="105" t="s">
        <v>121</v>
      </c>
      <c r="E38" s="106" t="s">
        <v>122</v>
      </c>
      <c r="F38" s="107" t="s">
        <v>76</v>
      </c>
    </row>
    <row r="39" spans="2:6" ht="13.5">
      <c r="B39" s="103">
        <v>31</v>
      </c>
      <c r="C39" s="104" t="s">
        <v>123</v>
      </c>
      <c r="D39" s="105" t="s">
        <v>124</v>
      </c>
      <c r="E39" s="106" t="s">
        <v>125</v>
      </c>
      <c r="F39" s="107" t="s">
        <v>56</v>
      </c>
    </row>
    <row r="40" spans="2:6" ht="13.5">
      <c r="B40" s="103">
        <v>32</v>
      </c>
      <c r="C40" s="104" t="s">
        <v>126</v>
      </c>
      <c r="D40" s="105" t="s">
        <v>127</v>
      </c>
      <c r="E40" s="106" t="s">
        <v>128</v>
      </c>
      <c r="F40" s="107" t="s">
        <v>56</v>
      </c>
    </row>
    <row r="41" spans="2:6" ht="13.5">
      <c r="B41" s="103">
        <v>33</v>
      </c>
      <c r="C41" s="104" t="s">
        <v>129</v>
      </c>
      <c r="D41" s="105" t="s">
        <v>130</v>
      </c>
      <c r="E41" s="106" t="s">
        <v>131</v>
      </c>
      <c r="F41" s="107" t="s">
        <v>56</v>
      </c>
    </row>
    <row r="42" spans="2:6" ht="13.5">
      <c r="B42" s="103">
        <v>34</v>
      </c>
      <c r="C42" s="104" t="s">
        <v>132</v>
      </c>
      <c r="D42" s="105" t="s">
        <v>133</v>
      </c>
      <c r="E42" s="106" t="s">
        <v>134</v>
      </c>
      <c r="F42" s="107" t="s">
        <v>56</v>
      </c>
    </row>
    <row r="43" spans="2:6" ht="13.5">
      <c r="B43" s="103">
        <v>35</v>
      </c>
      <c r="C43" s="104" t="s">
        <v>135</v>
      </c>
      <c r="D43" s="105" t="s">
        <v>136</v>
      </c>
      <c r="E43" s="106" t="s">
        <v>137</v>
      </c>
      <c r="F43" s="107" t="s">
        <v>56</v>
      </c>
    </row>
    <row r="44" spans="2:6" ht="13.5">
      <c r="B44" s="103">
        <v>36</v>
      </c>
      <c r="C44" s="104" t="s">
        <v>138</v>
      </c>
      <c r="D44" s="105" t="s">
        <v>139</v>
      </c>
      <c r="E44" s="106" t="s">
        <v>140</v>
      </c>
      <c r="F44" s="107" t="s">
        <v>56</v>
      </c>
    </row>
    <row r="45" spans="2:6" ht="13.5">
      <c r="B45" s="103">
        <v>37</v>
      </c>
      <c r="C45" s="104" t="s">
        <v>141</v>
      </c>
      <c r="D45" s="105" t="s">
        <v>142</v>
      </c>
      <c r="E45" s="106" t="s">
        <v>143</v>
      </c>
      <c r="F45" s="107" t="s">
        <v>76</v>
      </c>
    </row>
    <row r="46" spans="2:6" ht="13.5">
      <c r="B46" s="103">
        <v>38</v>
      </c>
      <c r="C46" s="104" t="s">
        <v>144</v>
      </c>
      <c r="D46" s="105" t="s">
        <v>145</v>
      </c>
      <c r="E46" s="106" t="s">
        <v>146</v>
      </c>
      <c r="F46" s="107" t="s">
        <v>56</v>
      </c>
    </row>
    <row r="47" spans="2:6" ht="13.5">
      <c r="B47" s="103">
        <v>39</v>
      </c>
      <c r="C47" s="104" t="s">
        <v>147</v>
      </c>
      <c r="D47" s="105" t="s">
        <v>148</v>
      </c>
      <c r="E47" s="106" t="s">
        <v>149</v>
      </c>
      <c r="F47" s="107" t="s">
        <v>76</v>
      </c>
    </row>
    <row r="48" spans="2:6" ht="13.5">
      <c r="B48" s="103">
        <v>40</v>
      </c>
      <c r="C48" s="104" t="s">
        <v>150</v>
      </c>
      <c r="D48" s="105" t="s">
        <v>151</v>
      </c>
      <c r="E48" s="106" t="s">
        <v>152</v>
      </c>
      <c r="F48" s="107" t="s">
        <v>76</v>
      </c>
    </row>
    <row r="49" spans="2:6" ht="13.5">
      <c r="B49" s="103">
        <v>41</v>
      </c>
      <c r="C49" s="104" t="s">
        <v>153</v>
      </c>
      <c r="D49" s="105" t="s">
        <v>154</v>
      </c>
      <c r="E49" s="106" t="s">
        <v>155</v>
      </c>
      <c r="F49" s="107" t="s">
        <v>56</v>
      </c>
    </row>
    <row r="50" spans="2:6" ht="13.5">
      <c r="B50" s="103">
        <v>42</v>
      </c>
      <c r="C50" s="104" t="s">
        <v>156</v>
      </c>
      <c r="D50" s="105" t="s">
        <v>157</v>
      </c>
      <c r="E50" s="106" t="s">
        <v>158</v>
      </c>
      <c r="F50" s="107" t="s">
        <v>66</v>
      </c>
    </row>
    <row r="51" spans="2:6" ht="13.5">
      <c r="B51" s="103">
        <v>43</v>
      </c>
      <c r="C51" s="104" t="s">
        <v>159</v>
      </c>
      <c r="D51" s="105" t="s">
        <v>160</v>
      </c>
      <c r="E51" s="106" t="s">
        <v>161</v>
      </c>
      <c r="F51" s="107" t="s">
        <v>66</v>
      </c>
    </row>
    <row r="52" spans="2:6" ht="13.5">
      <c r="B52" s="103">
        <v>44</v>
      </c>
      <c r="C52" s="104" t="s">
        <v>162</v>
      </c>
      <c r="D52" s="105" t="s">
        <v>163</v>
      </c>
      <c r="E52" s="106" t="s">
        <v>164</v>
      </c>
      <c r="F52" s="107" t="s">
        <v>66</v>
      </c>
    </row>
    <row r="53" spans="2:6" ht="13.5">
      <c r="B53" s="103">
        <v>45</v>
      </c>
      <c r="C53" s="104" t="s">
        <v>165</v>
      </c>
      <c r="D53" s="105" t="s">
        <v>166</v>
      </c>
      <c r="E53" s="106" t="s">
        <v>167</v>
      </c>
      <c r="F53" s="107" t="s">
        <v>56</v>
      </c>
    </row>
    <row r="54" spans="2:6" ht="13.5">
      <c r="B54" s="103">
        <v>46</v>
      </c>
      <c r="C54" s="104" t="s">
        <v>168</v>
      </c>
      <c r="D54" s="105" t="s">
        <v>169</v>
      </c>
      <c r="E54" s="106" t="s">
        <v>170</v>
      </c>
      <c r="F54" s="107" t="s">
        <v>56</v>
      </c>
    </row>
    <row r="55" spans="2:6" ht="13.5">
      <c r="B55" s="103">
        <v>47</v>
      </c>
      <c r="C55" s="104" t="s">
        <v>171</v>
      </c>
      <c r="D55" s="105" t="s">
        <v>172</v>
      </c>
      <c r="E55" s="106" t="s">
        <v>173</v>
      </c>
      <c r="F55" s="107" t="s">
        <v>56</v>
      </c>
    </row>
    <row r="56" spans="2:6" ht="13.5">
      <c r="B56" s="103">
        <v>48</v>
      </c>
      <c r="C56" s="104" t="s">
        <v>174</v>
      </c>
      <c r="D56" s="105" t="s">
        <v>175</v>
      </c>
      <c r="E56" s="106" t="s">
        <v>176</v>
      </c>
      <c r="F56" s="107" t="s">
        <v>56</v>
      </c>
    </row>
    <row r="57" spans="2:6" ht="13.5">
      <c r="B57" s="103">
        <v>49</v>
      </c>
      <c r="C57" s="104" t="s">
        <v>177</v>
      </c>
      <c r="D57" s="105" t="s">
        <v>178</v>
      </c>
      <c r="E57" s="106" t="s">
        <v>179</v>
      </c>
      <c r="F57" s="107" t="s">
        <v>56</v>
      </c>
    </row>
    <row r="58" spans="2:6" ht="13.5">
      <c r="B58" s="103">
        <v>50</v>
      </c>
      <c r="C58" s="104" t="s">
        <v>180</v>
      </c>
      <c r="D58" s="105" t="s">
        <v>181</v>
      </c>
      <c r="E58" s="106" t="s">
        <v>182</v>
      </c>
      <c r="F58" s="107" t="s">
        <v>56</v>
      </c>
    </row>
    <row r="59" spans="2:6" ht="13.5">
      <c r="B59" s="103">
        <v>51</v>
      </c>
      <c r="C59" s="104" t="s">
        <v>183</v>
      </c>
      <c r="D59" s="105" t="s">
        <v>184</v>
      </c>
      <c r="E59" s="106" t="s">
        <v>185</v>
      </c>
      <c r="F59" s="107" t="s">
        <v>56</v>
      </c>
    </row>
    <row r="60" spans="2:6" ht="13.5">
      <c r="B60" s="103">
        <v>52</v>
      </c>
      <c r="C60" s="104" t="s">
        <v>186</v>
      </c>
      <c r="D60" s="105" t="s">
        <v>187</v>
      </c>
      <c r="E60" s="106" t="s">
        <v>188</v>
      </c>
      <c r="F60" s="107" t="s">
        <v>56</v>
      </c>
    </row>
    <row r="61" spans="2:6" ht="13.5">
      <c r="B61" s="103">
        <v>53</v>
      </c>
      <c r="C61" s="104" t="s">
        <v>189</v>
      </c>
      <c r="D61" s="105" t="s">
        <v>190</v>
      </c>
      <c r="E61" s="106" t="s">
        <v>191</v>
      </c>
      <c r="F61" s="107" t="s">
        <v>76</v>
      </c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Feature1!A1" display="Feature1" xr:uid="{00000000-0004-0000-0100-000000000000}"/>
    <hyperlink ref="D10" location="Feature2!A1" display="Feature1" xr:uid="{00000000-0004-0000-0100-000001000000}"/>
    <hyperlink ref="D11" location="Feature1!A1" display="Feature1" xr:uid="{00000000-0004-0000-0100-000002000000}"/>
    <hyperlink ref="D12" location="Feature2!A1" display="Feature2" xr:uid="{00000000-0004-0000-0100-000003000000}"/>
    <hyperlink ref="D13" location="Feature2!A1" display="Feature2" xr:uid="{00000000-0004-0000-0100-000004000000}"/>
  </hyperlinks>
  <pageMargins left="0.74791666666666667" right="0.74791666666666667" top="0.98402777777777783" bottom="1.150694444444444" header="0.51180555555555562" footer="0.98402777777777783"/>
  <pageSetup paperSize="9" firstPageNumber="0" orientation="landscape" horizontalDpi="300" verticalDpi="300"/>
  <headerFooter alignWithMargins="0">
    <oddFooter>&amp;L&amp;"Tahoma,Regular"&amp;8 02ae-BM/PM/HDCV/FSOFT v2/0&amp;C&amp;"tahoma,Regular"&amp;8 Internal use&amp;R&amp;"tahoma,Regular"&amp;8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8"/>
  <sheetViews>
    <sheetView topLeftCell="A9" workbookViewId="0">
      <selection activeCell="C67" sqref="C67:E68"/>
    </sheetView>
  </sheetViews>
  <sheetFormatPr defaultColWidth="9" defaultRowHeight="12.75"/>
  <cols>
    <col min="1" max="1" width="4.5" style="1" customWidth="1"/>
    <col min="2" max="2" width="18.375" style="1" customWidth="1"/>
    <col min="3" max="3" width="56.875" style="1" bestFit="1" customWidth="1"/>
    <col min="4" max="6" width="11.625" style="1" customWidth="1"/>
    <col min="7" max="7" width="9" style="1" customWidth="1"/>
    <col min="8" max="8" width="35.5" style="1" customWidth="1"/>
    <col min="9" max="9" width="33.125" style="1" customWidth="1"/>
    <col min="10" max="10" width="9" style="1" customWidth="1"/>
    <col min="11" max="16384" width="9" style="1"/>
  </cols>
  <sheetData>
    <row r="1" spans="1:8" ht="25.5" customHeight="1">
      <c r="B1" s="132" t="s">
        <v>192</v>
      </c>
      <c r="C1" s="133"/>
      <c r="D1" s="133"/>
      <c r="E1" s="133"/>
      <c r="F1" s="133"/>
      <c r="G1" s="133"/>
      <c r="H1" s="133"/>
    </row>
    <row r="2" spans="1:8" ht="14.25" customHeight="1">
      <c r="A2" s="38"/>
      <c r="B2" s="38"/>
      <c r="C2" s="39"/>
      <c r="D2" s="39"/>
      <c r="E2" s="39"/>
      <c r="F2" s="39"/>
      <c r="G2" s="39"/>
      <c r="H2" s="40"/>
    </row>
    <row r="3" spans="1:8" ht="12" customHeight="1">
      <c r="B3" s="2" t="s">
        <v>1</v>
      </c>
      <c r="C3" s="129" t="str">
        <f>Cover!B4</f>
        <v>SmartHire-AI</v>
      </c>
      <c r="D3" s="123"/>
      <c r="E3" s="130" t="s">
        <v>3</v>
      </c>
      <c r="F3" s="123"/>
      <c r="G3" s="41"/>
      <c r="H3" s="108"/>
    </row>
    <row r="4" spans="1:8" ht="12" customHeight="1">
      <c r="B4" s="2" t="s">
        <v>4</v>
      </c>
      <c r="C4" s="129" t="str">
        <f>IF(Cover!B5="","",Cover!B5)</f>
        <v>SA</v>
      </c>
      <c r="D4" s="123"/>
      <c r="E4" s="130" t="s">
        <v>193</v>
      </c>
      <c r="F4" s="123"/>
      <c r="G4" s="41"/>
      <c r="H4" s="108"/>
    </row>
    <row r="5" spans="1:8" ht="12" customHeight="1">
      <c r="B5" s="42" t="s">
        <v>7</v>
      </c>
      <c r="C5" s="129" t="str">
        <f>Cover!B6</f>
        <v>SA_Test Report_v1.0</v>
      </c>
      <c r="D5" s="123"/>
      <c r="E5" s="130" t="s">
        <v>5</v>
      </c>
      <c r="F5" s="123"/>
      <c r="G5" s="41"/>
      <c r="H5" s="109" t="s">
        <v>6</v>
      </c>
    </row>
    <row r="6" spans="1:8" ht="21.75" customHeight="1">
      <c r="A6" s="38"/>
      <c r="B6" s="42" t="s">
        <v>194</v>
      </c>
      <c r="C6" s="131" t="s">
        <v>195</v>
      </c>
      <c r="D6" s="122"/>
      <c r="E6" s="122"/>
      <c r="F6" s="122"/>
      <c r="G6" s="122"/>
      <c r="H6" s="123"/>
    </row>
    <row r="7" spans="1:8" ht="14.25" customHeight="1">
      <c r="A7" s="38"/>
      <c r="B7" s="43"/>
      <c r="C7" s="44"/>
      <c r="D7" s="39"/>
      <c r="E7" s="39"/>
      <c r="F7" s="39"/>
      <c r="G7" s="39"/>
      <c r="H7" s="40"/>
    </row>
    <row r="8" spans="1:8">
      <c r="B8" s="43"/>
      <c r="C8" s="44"/>
      <c r="D8" s="39"/>
      <c r="E8" s="39"/>
      <c r="F8" s="39"/>
      <c r="G8" s="39"/>
      <c r="H8" s="40"/>
    </row>
    <row r="10" spans="1:8" ht="14.1" customHeight="1">
      <c r="A10" s="45"/>
      <c r="B10" s="46" t="s">
        <v>23</v>
      </c>
      <c r="C10" s="47" t="s">
        <v>196</v>
      </c>
      <c r="D10" s="48" t="s">
        <v>197</v>
      </c>
      <c r="E10" s="47" t="s">
        <v>198</v>
      </c>
      <c r="F10" s="47" t="s">
        <v>199</v>
      </c>
      <c r="G10" s="49" t="s">
        <v>200</v>
      </c>
      <c r="H10" s="50" t="s">
        <v>201</v>
      </c>
    </row>
    <row r="11" spans="1:8">
      <c r="A11" s="45"/>
      <c r="B11" s="110">
        <v>1</v>
      </c>
      <c r="C11" s="111" t="str">
        <f>'MASTER-01'!B2</f>
        <v>Tenant Onboarding, Deferred Provisioning &amp; Lifecycle</v>
      </c>
      <c r="D11" s="112">
        <f>'MASTER-01'!B6</f>
        <v>0</v>
      </c>
      <c r="E11" s="112">
        <f>'MASTER-01'!C6</f>
        <v>19</v>
      </c>
      <c r="F11" s="112">
        <f>'MASTER-01'!D6</f>
        <v>0</v>
      </c>
      <c r="G11" s="112">
        <f>'MASTER-01'!E6</f>
        <v>0</v>
      </c>
      <c r="H11" s="113">
        <f>'MASTER-01'!B4</f>
        <v>19</v>
      </c>
    </row>
    <row r="12" spans="1:8">
      <c r="A12" s="45"/>
      <c r="B12" s="110">
        <v>2</v>
      </c>
      <c r="C12" s="111" t="str">
        <f>'MASTER-02'!B2</f>
        <v>Two-Tier B2B Subscription Plans, V27 Snapshot &amp; Quotas</v>
      </c>
      <c r="D12" s="112">
        <f>'MASTER-02'!B6</f>
        <v>16</v>
      </c>
      <c r="E12" s="112">
        <f>'MASTER-02'!C6</f>
        <v>0</v>
      </c>
      <c r="F12" s="112">
        <f>'MASTER-02'!D6</f>
        <v>0</v>
      </c>
      <c r="G12" s="112">
        <f>'MASTER-02'!E6</f>
        <v>0</v>
      </c>
      <c r="H12" s="113">
        <f>'MASTER-02'!B4</f>
        <v>16</v>
      </c>
    </row>
    <row r="13" spans="1:8">
      <c r="A13" s="45"/>
      <c r="B13" s="110">
        <v>3</v>
      </c>
      <c r="C13" s="111" t="str">
        <f>'MASTER-03'!B2</f>
        <v>Billing, VAT Invoicing &amp; Payment Gateways (SePay/VNPay/PayPal)</v>
      </c>
      <c r="D13" s="112">
        <f>'MASTER-03'!B6</f>
        <v>0</v>
      </c>
      <c r="E13" s="112">
        <f>'MASTER-03'!C6</f>
        <v>20</v>
      </c>
      <c r="F13" s="112">
        <f>'MASTER-03'!D6</f>
        <v>0</v>
      </c>
      <c r="G13" s="112">
        <f>'MASTER-03'!E6</f>
        <v>0</v>
      </c>
      <c r="H13" s="113">
        <f>'MASTER-03'!B4</f>
        <v>20</v>
      </c>
    </row>
    <row r="14" spans="1:8">
      <c r="A14" s="45"/>
      <c r="B14" s="110">
        <v>4</v>
      </c>
      <c r="C14" s="111" t="str">
        <f>'MASTER-04'!B2</f>
        <v>Self-serve Checkout &amp; Click-wrap Legal Consent (Decree 13/2023/ND-CP)</v>
      </c>
      <c r="D14" s="112">
        <f>'MASTER-04'!B6</f>
        <v>0</v>
      </c>
      <c r="E14" s="112">
        <f>'MASTER-04'!C6</f>
        <v>4</v>
      </c>
      <c r="F14" s="112">
        <f>'MASTER-04'!D6</f>
        <v>0</v>
      </c>
      <c r="G14" s="112">
        <f>'MASTER-04'!E6</f>
        <v>2</v>
      </c>
      <c r="H14" s="113">
        <f>'MASTER-04'!B4</f>
        <v>6</v>
      </c>
    </row>
    <row r="15" spans="1:8">
      <c r="B15" s="110">
        <v>5</v>
      </c>
      <c r="C15" s="111" t="str">
        <f>'MASTER-05'!B2</f>
        <v>B2B Electronic Contracts &amp; Dropbox Sign API v3 Integration</v>
      </c>
      <c r="D15" s="112">
        <f>'MASTER-05'!B6</f>
        <v>23</v>
      </c>
      <c r="E15" s="112">
        <f>'MASTER-05'!C6</f>
        <v>0</v>
      </c>
      <c r="F15" s="112">
        <f>'MASTER-05'!D6</f>
        <v>0</v>
      </c>
      <c r="G15" s="112">
        <f>'MASTER-05'!E6</f>
        <v>0</v>
      </c>
      <c r="H15" s="113">
        <f>'MASTER-05'!B4</f>
        <v>23</v>
      </c>
    </row>
    <row r="16" spans="1:8">
      <c r="B16" s="110">
        <v>6</v>
      </c>
      <c r="C16" s="111" t="str">
        <f>'MASTER-06'!B2</f>
        <v>Enterprise Sales Leads &amp; 4-Step B2B Deal Wizard</v>
      </c>
      <c r="D16" s="112">
        <f>'MASTER-06'!B6</f>
        <v>0</v>
      </c>
      <c r="E16" s="112">
        <f>'MASTER-06'!C6</f>
        <v>0</v>
      </c>
      <c r="F16" s="112">
        <f>'MASTER-06'!D6</f>
        <v>8</v>
      </c>
      <c r="G16" s="112">
        <f>'MASTER-06'!E6</f>
        <v>0</v>
      </c>
      <c r="H16" s="113">
        <f>'MASTER-06'!B4</f>
        <v>8</v>
      </c>
    </row>
    <row r="17" spans="2:8">
      <c r="B17" s="110">
        <v>7</v>
      </c>
      <c r="C17" s="111" t="str">
        <f>'MASTER-07'!B2</f>
        <v>AI Engine Governance, Model Routing &amp; Token Cost Metering</v>
      </c>
      <c r="D17" s="112">
        <f>'MASTER-07'!B6</f>
        <v>0</v>
      </c>
      <c r="E17" s="112">
        <f>'MASTER-07'!C6</f>
        <v>27</v>
      </c>
      <c r="F17" s="112">
        <f>'MASTER-07'!D6</f>
        <v>0</v>
      </c>
      <c r="G17" s="112">
        <f>'MASTER-07'!E6</f>
        <v>0</v>
      </c>
      <c r="H17" s="113">
        <f>'MASTER-07'!B4</f>
        <v>27</v>
      </c>
    </row>
    <row r="18" spans="2:8">
      <c r="B18" s="110">
        <v>8</v>
      </c>
      <c r="C18" s="111" t="str">
        <f>'MASTER-08'!B2</f>
        <v>Platform Financial Analytics (ARR/NRR), Audit Logs &amp; Auto Email Alerts</v>
      </c>
      <c r="D18" s="112">
        <f>'MASTER-08'!B6</f>
        <v>0</v>
      </c>
      <c r="E18" s="112">
        <f>'MASTER-08'!C6</f>
        <v>0</v>
      </c>
      <c r="F18" s="112">
        <f>'MASTER-08'!D6</f>
        <v>5</v>
      </c>
      <c r="G18" s="112">
        <f>'MASTER-08'!E6</f>
        <v>0</v>
      </c>
      <c r="H18" s="113">
        <f>'MASTER-08'!B4</f>
        <v>5</v>
      </c>
    </row>
    <row r="19" spans="2:8">
      <c r="B19" s="110">
        <v>9</v>
      </c>
      <c r="C19" s="111" t="str">
        <f>'ASSESS-01'!B2</f>
        <v>Multiple Choice Test</v>
      </c>
      <c r="D19" s="112">
        <f>'ASSESS-01'!B6</f>
        <v>38</v>
      </c>
      <c r="E19" s="112">
        <f>'ASSESS-01'!C6</f>
        <v>0</v>
      </c>
      <c r="F19" s="112">
        <f>'ASSESS-01'!D6</f>
        <v>0</v>
      </c>
      <c r="G19" s="112">
        <f>'ASSESS-01'!E6</f>
        <v>0</v>
      </c>
      <c r="H19" s="113">
        <f>'ASSESS-01'!B4</f>
        <v>38</v>
      </c>
    </row>
    <row r="20" spans="2:8">
      <c r="B20" s="110">
        <v>10</v>
      </c>
      <c r="C20" s="111" t="str">
        <f>'ASSESS-02'!B2</f>
        <v>Coding Challenge</v>
      </c>
      <c r="D20" s="112">
        <f>'ASSESS-02'!B6</f>
        <v>0</v>
      </c>
      <c r="E20" s="112">
        <f>'ASSESS-02'!C6</f>
        <v>0</v>
      </c>
      <c r="F20" s="112">
        <f>'ASSESS-02'!D6</f>
        <v>5</v>
      </c>
      <c r="G20" s="112">
        <f>'ASSESS-02'!E6</f>
        <v>0</v>
      </c>
      <c r="H20" s="113">
        <f>'ASSESS-02'!B4</f>
        <v>5</v>
      </c>
    </row>
    <row r="21" spans="2:8">
      <c r="B21" s="110">
        <v>11</v>
      </c>
      <c r="C21" s="111" t="str">
        <f>'ASSESS-03'!B2</f>
        <v>Auto Grading</v>
      </c>
      <c r="D21" s="112">
        <f>'ASSESS-03'!B6</f>
        <v>0</v>
      </c>
      <c r="E21" s="112">
        <f>'ASSESS-03'!C6</f>
        <v>0</v>
      </c>
      <c r="F21" s="112">
        <f>'ASSESS-03'!D6</f>
        <v>0</v>
      </c>
      <c r="G21" s="112">
        <f>'ASSESS-03'!E6</f>
        <v>0</v>
      </c>
      <c r="H21" s="113">
        <f>'ASSESS-03'!B4</f>
        <v>0</v>
      </c>
    </row>
    <row r="22" spans="2:8">
      <c r="B22" s="110">
        <v>12</v>
      </c>
      <c r="C22" s="111" t="str">
        <f>'ASSESS-04'!B2</f>
        <v>Timer Control</v>
      </c>
      <c r="D22" s="112">
        <f>'ASSESS-04'!B6</f>
        <v>5</v>
      </c>
      <c r="E22" s="112">
        <f>'ASSESS-04'!C6</f>
        <v>0</v>
      </c>
      <c r="F22" s="112">
        <f>'ASSESS-04'!D6</f>
        <v>0</v>
      </c>
      <c r="G22" s="112">
        <f>'ASSESS-04'!E6</f>
        <v>0</v>
      </c>
      <c r="H22" s="113">
        <f>'ASSESS-04'!B4</f>
        <v>5</v>
      </c>
    </row>
    <row r="23" spans="2:8">
      <c r="B23" s="110">
        <v>13</v>
      </c>
      <c r="C23" s="111" t="str">
        <f>'ASSESS-05'!B2</f>
        <v>Anti-cheating Detection</v>
      </c>
      <c r="D23" s="112">
        <f>'ASSESS-05'!B6</f>
        <v>4</v>
      </c>
      <c r="E23" s="112">
        <f>'ASSESS-05'!C6</f>
        <v>0</v>
      </c>
      <c r="F23" s="112">
        <f>'ASSESS-05'!D6</f>
        <v>3</v>
      </c>
      <c r="G23" s="112">
        <f>'ASSESS-05'!E6</f>
        <v>0</v>
      </c>
      <c r="H23" s="113">
        <f>'ASSESS-05'!B4</f>
        <v>7</v>
      </c>
    </row>
    <row r="24" spans="2:8">
      <c r="B24" s="110">
        <v>14</v>
      </c>
      <c r="C24" s="111" t="str">
        <f>'AUTH-01'!B2</f>
        <v>User Registration</v>
      </c>
      <c r="D24" s="112">
        <f>'AUTH-01'!B6</f>
        <v>0</v>
      </c>
      <c r="E24" s="112">
        <f>'AUTH-01'!C6</f>
        <v>0</v>
      </c>
      <c r="F24" s="112">
        <f>'AUTH-01'!D6</f>
        <v>4</v>
      </c>
      <c r="G24" s="112">
        <f>'AUTH-01'!E6</f>
        <v>0</v>
      </c>
      <c r="H24" s="113">
        <f>'AUTH-01'!B4</f>
        <v>4</v>
      </c>
    </row>
    <row r="25" spans="2:8">
      <c r="B25" s="110">
        <v>15</v>
      </c>
      <c r="C25" s="111" t="str">
        <f>'AUTH-02'!B2</f>
        <v>Login &amp; JWT Authentication</v>
      </c>
      <c r="D25" s="112">
        <f>'AUTH-02'!B6</f>
        <v>18</v>
      </c>
      <c r="E25" s="112">
        <f>'AUTH-02'!C6</f>
        <v>0</v>
      </c>
      <c r="F25" s="112">
        <f>'AUTH-02'!D6</f>
        <v>0</v>
      </c>
      <c r="G25" s="112">
        <f>'AUTH-02'!E6</f>
        <v>0</v>
      </c>
      <c r="H25" s="113">
        <f>'AUTH-02'!B4</f>
        <v>18</v>
      </c>
    </row>
    <row r="26" spans="2:8">
      <c r="B26" s="110">
        <v>16</v>
      </c>
      <c r="C26" s="111" t="str">
        <f>'AUTH-03'!B2</f>
        <v>Google OAuth Login</v>
      </c>
      <c r="D26" s="112">
        <f>'AUTH-03'!B6</f>
        <v>2</v>
      </c>
      <c r="E26" s="112">
        <f>'AUTH-03'!C6</f>
        <v>0</v>
      </c>
      <c r="F26" s="112">
        <f>'AUTH-03'!D6</f>
        <v>0</v>
      </c>
      <c r="G26" s="112">
        <f>'AUTH-03'!E6</f>
        <v>2</v>
      </c>
      <c r="H26" s="113">
        <f>'AUTH-03'!B4</f>
        <v>4</v>
      </c>
    </row>
    <row r="27" spans="2:8">
      <c r="B27" s="110">
        <v>17</v>
      </c>
      <c r="C27" s="111" t="str">
        <f>'AUTH-04'!B2</f>
        <v>Role-Based Access Control (RBAC)</v>
      </c>
      <c r="D27" s="112">
        <f>'AUTH-04'!B6</f>
        <v>17</v>
      </c>
      <c r="E27" s="112">
        <f>'AUTH-04'!C6</f>
        <v>0</v>
      </c>
      <c r="F27" s="112">
        <f>'AUTH-04'!D6</f>
        <v>0</v>
      </c>
      <c r="G27" s="112">
        <f>'AUTH-04'!E6</f>
        <v>0</v>
      </c>
      <c r="H27" s="113">
        <f>'AUTH-04'!B4</f>
        <v>17</v>
      </c>
    </row>
    <row r="28" spans="2:8">
      <c r="B28" s="110">
        <v>18</v>
      </c>
      <c r="C28" s="111" t="str">
        <f>'AUTH-05'!B2</f>
        <v>User Profile Management</v>
      </c>
      <c r="D28" s="112">
        <f>'AUTH-05'!B6</f>
        <v>0</v>
      </c>
      <c r="E28" s="112">
        <f>'AUTH-05'!C6</f>
        <v>0</v>
      </c>
      <c r="F28" s="112">
        <f>'AUTH-05'!D6</f>
        <v>7</v>
      </c>
      <c r="G28" s="112">
        <f>'AUTH-05'!E6</f>
        <v>0</v>
      </c>
      <c r="H28" s="113">
        <f>'AUTH-05'!B4</f>
        <v>7</v>
      </c>
    </row>
    <row r="29" spans="2:8">
      <c r="B29" s="110">
        <v>19</v>
      </c>
      <c r="C29" s="111" t="str">
        <f>'COMPANY-01'!B2</f>
        <v>View &amp; Update Company Profile</v>
      </c>
      <c r="D29" s="112">
        <f>'COMPANY-01'!B6</f>
        <v>8</v>
      </c>
      <c r="E29" s="112">
        <f>'COMPANY-01'!C6</f>
        <v>0</v>
      </c>
      <c r="F29" s="112">
        <f>'COMPANY-01'!D6</f>
        <v>0</v>
      </c>
      <c r="G29" s="112">
        <f>'COMPANY-01'!E6</f>
        <v>0</v>
      </c>
      <c r="H29" s="113">
        <f>'COMPANY-01'!B4</f>
        <v>8</v>
      </c>
    </row>
    <row r="30" spans="2:8">
      <c r="B30" s="110">
        <v>20</v>
      </c>
      <c r="C30" s="111" t="str">
        <f>'COMPANY-02'!B2</f>
        <v>Invite tenant staff</v>
      </c>
      <c r="D30" s="112">
        <f>'COMPANY-02'!B6</f>
        <v>10</v>
      </c>
      <c r="E30" s="112">
        <f>'COMPANY-02'!C6</f>
        <v>0</v>
      </c>
      <c r="F30" s="112">
        <f>'COMPANY-02'!D6</f>
        <v>0</v>
      </c>
      <c r="G30" s="112">
        <f>'COMPANY-02'!E6</f>
        <v>0</v>
      </c>
      <c r="H30" s="113">
        <f>'COMPANY-02'!B4</f>
        <v>10</v>
      </c>
    </row>
    <row r="31" spans="2:8">
      <c r="B31" s="110">
        <v>21</v>
      </c>
      <c r="C31" s="111" t="str">
        <f>'COMPANY-02-Tenant-Landing-Page'!B2</f>
        <v>Tenant Landing / Career Page</v>
      </c>
      <c r="D31" s="112">
        <f>'COMPANY-02-Tenant-Landing-Page'!B6</f>
        <v>7</v>
      </c>
      <c r="E31" s="112">
        <f>'COMPANY-02-Tenant-Landing-Page'!C6</f>
        <v>0</v>
      </c>
      <c r="F31" s="112">
        <f>'COMPANY-02-Tenant-Landing-Page'!D6</f>
        <v>0</v>
      </c>
      <c r="G31" s="112">
        <f>'COMPANY-02-Tenant-Landing-Page'!E6</f>
        <v>0</v>
      </c>
      <c r="H31" s="113">
        <f>'COMPANY-02-Tenant-Landing-Page'!B4</f>
        <v>7</v>
      </c>
    </row>
    <row r="32" spans="2:8">
      <c r="B32" s="110">
        <v>22</v>
      </c>
      <c r="C32" s="111" t="str">
        <f>'CV-01'!B2</f>
        <v>CV Upload</v>
      </c>
      <c r="D32" s="112">
        <f>'CV-01'!B6</f>
        <v>9</v>
      </c>
      <c r="E32" s="112">
        <f>'CV-01'!C6</f>
        <v>0</v>
      </c>
      <c r="F32" s="112">
        <f>'CV-01'!D6</f>
        <v>0</v>
      </c>
      <c r="G32" s="112">
        <f>'CV-01'!E6</f>
        <v>0</v>
      </c>
      <c r="H32" s="113">
        <f>'CV-01'!B4</f>
        <v>9</v>
      </c>
    </row>
    <row r="33" spans="2:8">
      <c r="B33" s="110">
        <v>23</v>
      </c>
      <c r="C33" s="111" t="str">
        <f>'CV-02'!B2</f>
        <v>CV Parsing</v>
      </c>
      <c r="D33" s="112">
        <f>'CV-02'!B6</f>
        <v>5</v>
      </c>
      <c r="E33" s="112">
        <f>'CV-02'!C6</f>
        <v>0</v>
      </c>
      <c r="F33" s="112">
        <f>'CV-02'!D6</f>
        <v>0</v>
      </c>
      <c r="G33" s="112">
        <f>'CV-02'!E6</f>
        <v>0</v>
      </c>
      <c r="H33" s="113">
        <f>'CV-02'!B4</f>
        <v>5</v>
      </c>
    </row>
    <row r="34" spans="2:8">
      <c r="B34" s="110">
        <v>24</v>
      </c>
      <c r="C34" s="111" t="str">
        <f>'CV-03'!B2</f>
        <v>Information Extraction</v>
      </c>
      <c r="D34" s="112">
        <f>'CV-03'!B6</f>
        <v>5</v>
      </c>
      <c r="E34" s="112">
        <f>'CV-03'!C6</f>
        <v>0</v>
      </c>
      <c r="F34" s="112">
        <f>'CV-03'!D6</f>
        <v>0</v>
      </c>
      <c r="G34" s="112">
        <f>'CV-03'!E6</f>
        <v>0</v>
      </c>
      <c r="H34" s="113">
        <f>'CV-03'!B4</f>
        <v>5</v>
      </c>
    </row>
    <row r="35" spans="2:8">
      <c r="B35" s="110">
        <v>25</v>
      </c>
      <c r="C35" s="111" t="str">
        <f>'CV-04'!B2</f>
        <v>AI Skill Analysis</v>
      </c>
      <c r="D35" s="112">
        <f>'CV-04'!B6</f>
        <v>4</v>
      </c>
      <c r="E35" s="112">
        <f>'CV-04'!C6</f>
        <v>0</v>
      </c>
      <c r="F35" s="112">
        <f>'CV-04'!D6</f>
        <v>0</v>
      </c>
      <c r="G35" s="112">
        <f>'CV-04'!E6</f>
        <v>0</v>
      </c>
      <c r="H35" s="113">
        <f>'CV-04'!B4</f>
        <v>4</v>
      </c>
    </row>
    <row r="36" spans="2:8">
      <c r="B36" s="110">
        <v>26</v>
      </c>
      <c r="C36" s="111" t="str">
        <f>'CV-05'!B2</f>
        <v>Candidate Matching Score</v>
      </c>
      <c r="D36" s="112">
        <f>'CV-05'!B6</f>
        <v>7</v>
      </c>
      <c r="E36" s="112">
        <f>'CV-05'!C6</f>
        <v>0</v>
      </c>
      <c r="F36" s="112">
        <f>'CV-05'!D6</f>
        <v>0</v>
      </c>
      <c r="G36" s="112">
        <f>'CV-05'!E6</f>
        <v>0</v>
      </c>
      <c r="H36" s="113">
        <f>'CV-05'!B4</f>
        <v>7</v>
      </c>
    </row>
    <row r="37" spans="2:8">
      <c r="B37" s="110">
        <v>27</v>
      </c>
      <c r="C37" s="111" t="str">
        <f>'CV-06'!B2</f>
        <v>CV Builder</v>
      </c>
      <c r="D37" s="112">
        <f>'CV-06'!B6</f>
        <v>25</v>
      </c>
      <c r="E37" s="112">
        <f>'CV-06'!C6</f>
        <v>0</v>
      </c>
      <c r="F37" s="112">
        <f>'CV-06'!D6</f>
        <v>0</v>
      </c>
      <c r="G37" s="112">
        <f>'CV-06'!E6</f>
        <v>0</v>
      </c>
      <c r="H37" s="113">
        <f>'CV-06'!B4</f>
        <v>25</v>
      </c>
    </row>
    <row r="38" spans="2:8">
      <c r="B38" s="110">
        <v>28</v>
      </c>
      <c r="C38" s="111" t="str">
        <f>'DASH-01'!B2</f>
        <v>Recruitment Statistics</v>
      </c>
      <c r="D38" s="112">
        <f>'DASH-01'!B6</f>
        <v>6</v>
      </c>
      <c r="E38" s="112">
        <f>'DASH-01'!C6</f>
        <v>0</v>
      </c>
      <c r="F38" s="112">
        <f>'DASH-01'!D6</f>
        <v>0</v>
      </c>
      <c r="G38" s="112">
        <f>'DASH-01'!E6</f>
        <v>0</v>
      </c>
      <c r="H38" s="113">
        <f>'DASH-01'!B4</f>
        <v>6</v>
      </c>
    </row>
    <row r="39" spans="2:8">
      <c r="B39" s="110">
        <v>29</v>
      </c>
      <c r="C39" s="111" t="str">
        <f>'DASH-02'!B2</f>
        <v>Dashboard Charts</v>
      </c>
      <c r="D39" s="112">
        <f>'DASH-02'!B6</f>
        <v>5</v>
      </c>
      <c r="E39" s="112">
        <f>'DASH-02'!C6</f>
        <v>0</v>
      </c>
      <c r="F39" s="112">
        <f>'DASH-02'!D6</f>
        <v>0</v>
      </c>
      <c r="G39" s="112">
        <f>'DASH-02'!E6</f>
        <v>0</v>
      </c>
      <c r="H39" s="113">
        <f>'DASH-02'!B4</f>
        <v>5</v>
      </c>
    </row>
    <row r="40" spans="2:8">
      <c r="B40" s="110">
        <v>30</v>
      </c>
      <c r="C40" s="111" t="str">
        <f>'DASH-03'!B2</f>
        <v>Recruitment Trend Analysis</v>
      </c>
      <c r="D40" s="112">
        <f>'DASH-03'!B6</f>
        <v>4</v>
      </c>
      <c r="E40" s="112">
        <f>'DASH-03'!C6</f>
        <v>0</v>
      </c>
      <c r="F40" s="112">
        <f>'DASH-03'!D6</f>
        <v>0</v>
      </c>
      <c r="G40" s="112">
        <f>'DASH-03'!E6</f>
        <v>0</v>
      </c>
      <c r="H40" s="113">
        <f>'DASH-03'!B4</f>
        <v>4</v>
      </c>
    </row>
    <row r="41" spans="2:8">
      <c r="B41" s="110">
        <v>31</v>
      </c>
      <c r="C41" s="111" t="str">
        <f>'INT-01'!B2</f>
        <v>AI Question Generation</v>
      </c>
      <c r="D41" s="112">
        <f>'INT-01'!B6</f>
        <v>35</v>
      </c>
      <c r="E41" s="112">
        <f>'INT-01'!C6</f>
        <v>0</v>
      </c>
      <c r="F41" s="112">
        <f>'INT-01'!D6</f>
        <v>6</v>
      </c>
      <c r="G41" s="112">
        <f>'INT-01'!E6</f>
        <v>0</v>
      </c>
      <c r="H41" s="113">
        <f>'INT-01'!B4</f>
        <v>41</v>
      </c>
    </row>
    <row r="42" spans="2:8">
      <c r="B42" s="110">
        <v>32</v>
      </c>
      <c r="C42" s="111" t="str">
        <f>'INT-02'!B2</f>
        <v>Speech-to-Text Integration</v>
      </c>
      <c r="D42" s="112">
        <f>'INT-02'!B6</f>
        <v>17</v>
      </c>
      <c r="E42" s="112">
        <f>'INT-02'!C6</f>
        <v>0</v>
      </c>
      <c r="F42" s="112">
        <f>'INT-02'!D6</f>
        <v>0</v>
      </c>
      <c r="G42" s="112">
        <f>'INT-02'!E6</f>
        <v>0</v>
      </c>
      <c r="H42" s="113">
        <f>'INT-02'!B4</f>
        <v>17</v>
      </c>
    </row>
    <row r="43" spans="2:8">
      <c r="B43" s="110">
        <v>33</v>
      </c>
      <c r="C43" s="111" t="str">
        <f>'INT-03'!B2</f>
        <v>NLP Response Analysis</v>
      </c>
      <c r="D43" s="112">
        <f>'INT-03'!B6</f>
        <v>5</v>
      </c>
      <c r="E43" s="112">
        <f>'INT-03'!C6</f>
        <v>0</v>
      </c>
      <c r="F43" s="112">
        <f>'INT-03'!D6</f>
        <v>0</v>
      </c>
      <c r="G43" s="112">
        <f>'INT-03'!E6</f>
        <v>0</v>
      </c>
      <c r="H43" s="113">
        <f>'INT-03'!B4</f>
        <v>5</v>
      </c>
    </row>
    <row r="44" spans="2:8">
      <c r="B44" s="110">
        <v>34</v>
      </c>
      <c r="C44" s="111" t="str">
        <f>'INT-04'!B2</f>
        <v>AI Interview Scoring</v>
      </c>
      <c r="D44" s="112">
        <f>'INT-04'!B6</f>
        <v>8</v>
      </c>
      <c r="E44" s="112">
        <f>'INT-04'!C6</f>
        <v>0</v>
      </c>
      <c r="F44" s="112">
        <f>'INT-04'!D6</f>
        <v>0</v>
      </c>
      <c r="G44" s="112">
        <f>'INT-04'!E6</f>
        <v>0</v>
      </c>
      <c r="H44" s="113">
        <f>'INT-04'!B4</f>
        <v>8</v>
      </c>
    </row>
    <row r="45" spans="2:8">
      <c r="B45" s="110">
        <v>35</v>
      </c>
      <c r="C45" s="111" t="str">
        <f>'INT-05'!B2</f>
        <v>Interview Feedback</v>
      </c>
      <c r="D45" s="112">
        <f>'INT-05'!B6</f>
        <v>4</v>
      </c>
      <c r="E45" s="112">
        <f>'INT-05'!C6</f>
        <v>0</v>
      </c>
      <c r="F45" s="112">
        <f>'INT-05'!D6</f>
        <v>3</v>
      </c>
      <c r="G45" s="112">
        <f>'INT-05'!E6</f>
        <v>0</v>
      </c>
      <c r="H45" s="113">
        <f>'INT-05'!B4</f>
        <v>7</v>
      </c>
    </row>
    <row r="46" spans="2:8">
      <c r="B46" s="110">
        <v>36</v>
      </c>
      <c r="C46" s="111" t="str">
        <f>'JOB-01'!B2</f>
        <v>Create / Update / Delete Job</v>
      </c>
      <c r="D46" s="112">
        <f>'JOB-01'!B6</f>
        <v>22</v>
      </c>
      <c r="E46" s="112">
        <f>'JOB-01'!C6</f>
        <v>0</v>
      </c>
      <c r="F46" s="112">
        <f>'JOB-01'!D6</f>
        <v>0</v>
      </c>
      <c r="G46" s="112">
        <f>'JOB-01'!E6</f>
        <v>0</v>
      </c>
      <c r="H46" s="113">
        <f>'JOB-01'!B4</f>
        <v>22</v>
      </c>
    </row>
    <row r="47" spans="2:8">
      <c r="B47" s="110">
        <v>37</v>
      </c>
      <c r="C47" s="111" t="str">
        <f>'JOB-02'!B2</f>
        <v>Job Publishing</v>
      </c>
      <c r="D47" s="112">
        <f>'JOB-02'!B6</f>
        <v>15</v>
      </c>
      <c r="E47" s="112">
        <f>'JOB-02'!C6</f>
        <v>0</v>
      </c>
      <c r="F47" s="112">
        <f>'JOB-02'!D6</f>
        <v>0</v>
      </c>
      <c r="G47" s="112">
        <f>'JOB-02'!E6</f>
        <v>0</v>
      </c>
      <c r="H47" s="113">
        <f>'JOB-02'!B4</f>
        <v>15</v>
      </c>
    </row>
    <row r="48" spans="2:8">
      <c r="B48" s="110">
        <v>38</v>
      </c>
      <c r="C48" s="111" t="str">
        <f>'JOB-03'!B2</f>
        <v>Skill Requirement Management</v>
      </c>
      <c r="D48" s="112">
        <f>'JOB-03'!B6</f>
        <v>5</v>
      </c>
      <c r="E48" s="112">
        <f>'JOB-03'!C6</f>
        <v>0</v>
      </c>
      <c r="F48" s="112">
        <f>'JOB-03'!D6</f>
        <v>0</v>
      </c>
      <c r="G48" s="112">
        <f>'JOB-03'!E6</f>
        <v>0</v>
      </c>
      <c r="H48" s="113">
        <f>'JOB-03'!B4</f>
        <v>5</v>
      </c>
    </row>
    <row r="49" spans="2:8">
      <c r="B49" s="110">
        <v>39</v>
      </c>
      <c r="C49" s="111" t="str">
        <f>'JOB-04'!B2</f>
        <v>Recruitment Stage Management</v>
      </c>
      <c r="D49" s="112">
        <f>'JOB-04'!B6</f>
        <v>5</v>
      </c>
      <c r="E49" s="112">
        <f>'JOB-04'!C6</f>
        <v>0</v>
      </c>
      <c r="F49" s="112">
        <f>'JOB-04'!D6</f>
        <v>0</v>
      </c>
      <c r="G49" s="112">
        <f>'JOB-04'!E6</f>
        <v>0</v>
      </c>
      <c r="H49" s="113">
        <f>'JOB-04'!B4</f>
        <v>5</v>
      </c>
    </row>
    <row r="50" spans="2:8">
      <c r="B50" s="110">
        <v>40</v>
      </c>
      <c r="C50" s="111" t="str">
        <f>'JOB-05'!B2</f>
        <v>Applicant Management</v>
      </c>
      <c r="D50" s="112">
        <f>'JOB-05'!B6</f>
        <v>16</v>
      </c>
      <c r="E50" s="112">
        <f>'JOB-05'!C6</f>
        <v>0</v>
      </c>
      <c r="F50" s="112">
        <f>'JOB-05'!D6</f>
        <v>0</v>
      </c>
      <c r="G50" s="112">
        <f>'JOB-05'!E6</f>
        <v>0</v>
      </c>
      <c r="H50" s="113">
        <f>'JOB-05'!B4</f>
        <v>16</v>
      </c>
    </row>
    <row r="51" spans="2:8">
      <c r="B51" s="110">
        <v>41</v>
      </c>
      <c r="C51" s="111" t="str">
        <f>'JOB-06'!B2</f>
        <v>Recruiter Job Assignment</v>
      </c>
      <c r="D51" s="112">
        <f>'JOB-06'!B6</f>
        <v>11</v>
      </c>
      <c r="E51" s="112">
        <f>'JOB-06'!C6</f>
        <v>0</v>
      </c>
      <c r="F51" s="112">
        <f>'JOB-06'!D6</f>
        <v>0</v>
      </c>
      <c r="G51" s="112">
        <f>'JOB-06'!E6</f>
        <v>0</v>
      </c>
      <c r="H51" s="113">
        <f>'JOB-06'!B4</f>
        <v>11</v>
      </c>
    </row>
    <row r="52" spans="2:8">
      <c r="B52" s="110">
        <v>42</v>
      </c>
      <c r="C52" s="111" t="str">
        <f>'PRACT-01'!B2</f>
        <v>Practice Interview Session</v>
      </c>
      <c r="D52" s="112">
        <f>'PRACT-01'!B6</f>
        <v>0</v>
      </c>
      <c r="E52" s="112">
        <f>'PRACT-01'!C6</f>
        <v>0</v>
      </c>
      <c r="F52" s="112">
        <f>'PRACT-01'!D6</f>
        <v>6</v>
      </c>
      <c r="G52" s="112">
        <f>'PRACT-01'!E6</f>
        <v>0</v>
      </c>
      <c r="H52" s="113">
        <f>'PRACT-01'!B4</f>
        <v>6</v>
      </c>
    </row>
    <row r="53" spans="2:8">
      <c r="B53" s="110">
        <v>43</v>
      </c>
      <c r="C53" s="111" t="str">
        <f>'PRACT-02'!B2</f>
        <v>AI Feedback Generation</v>
      </c>
      <c r="D53" s="112">
        <f>'PRACT-02'!B6</f>
        <v>0</v>
      </c>
      <c r="E53" s="112">
        <f>'PRACT-02'!C6</f>
        <v>0</v>
      </c>
      <c r="F53" s="112">
        <f>'PRACT-02'!D6</f>
        <v>5</v>
      </c>
      <c r="G53" s="112">
        <f>'PRACT-02'!E6</f>
        <v>0</v>
      </c>
      <c r="H53" s="113">
        <f>'PRACT-02'!B4</f>
        <v>5</v>
      </c>
    </row>
    <row r="54" spans="2:8">
      <c r="B54" s="110">
        <v>44</v>
      </c>
      <c r="C54" s="111" t="str">
        <f>'PRACT-03'!B2</f>
        <v>Practice History Management</v>
      </c>
      <c r="D54" s="112">
        <f>'PRACT-03'!B6</f>
        <v>0</v>
      </c>
      <c r="E54" s="112">
        <f>'PRACT-03'!C6</f>
        <v>0</v>
      </c>
      <c r="F54" s="112">
        <f>'PRACT-03'!D6</f>
        <v>6</v>
      </c>
      <c r="G54" s="112">
        <f>'PRACT-03'!E6</f>
        <v>0</v>
      </c>
      <c r="H54" s="113">
        <f>'PRACT-03'!B4</f>
        <v>6</v>
      </c>
    </row>
    <row r="55" spans="2:8">
      <c r="B55" s="110">
        <v>45</v>
      </c>
      <c r="C55" s="111" t="str">
        <f>'RANK-01'!B2</f>
        <v>Candidate Ranking Algorithm</v>
      </c>
      <c r="D55" s="112">
        <f>'RANK-01'!B6</f>
        <v>12</v>
      </c>
      <c r="E55" s="112">
        <f>'RANK-01'!C6</f>
        <v>0</v>
      </c>
      <c r="F55" s="112">
        <f>'RANK-01'!D6</f>
        <v>0</v>
      </c>
      <c r="G55" s="112">
        <f>'RANK-01'!E6</f>
        <v>0</v>
      </c>
      <c r="H55" s="113">
        <f>'RANK-01'!B4</f>
        <v>12</v>
      </c>
    </row>
    <row r="56" spans="2:8">
      <c r="B56" s="110">
        <v>46</v>
      </c>
      <c r="C56" s="111" t="str">
        <f>'RANK-02'!B2</f>
        <v>Recommendation Engine</v>
      </c>
      <c r="D56" s="112">
        <f>'RANK-02'!B6</f>
        <v>0</v>
      </c>
      <c r="E56" s="112">
        <f>'RANK-02'!C6</f>
        <v>0</v>
      </c>
      <c r="F56" s="112">
        <f>'RANK-02'!D6</f>
        <v>4</v>
      </c>
      <c r="G56" s="112">
        <f>'RANK-02'!E6</f>
        <v>0</v>
      </c>
      <c r="H56" s="113">
        <f>'RANK-02'!B4</f>
        <v>4</v>
      </c>
    </row>
    <row r="57" spans="2:8">
      <c r="B57" s="110">
        <v>47</v>
      </c>
      <c r="C57" s="111" t="str">
        <f>'RANK-03'!B2</f>
        <v>Overall Candidate Score</v>
      </c>
      <c r="D57" s="112">
        <f>'RANK-03'!B6</f>
        <v>3</v>
      </c>
      <c r="E57" s="112">
        <f>'RANK-03'!C6</f>
        <v>0</v>
      </c>
      <c r="F57" s="112">
        <f>'RANK-03'!D6</f>
        <v>0</v>
      </c>
      <c r="G57" s="112">
        <f>'RANK-03'!E6</f>
        <v>0</v>
      </c>
      <c r="H57" s="113">
        <f>'RANK-03'!B4</f>
        <v>3</v>
      </c>
    </row>
    <row r="58" spans="2:8">
      <c r="B58" s="110">
        <v>48</v>
      </c>
      <c r="C58" s="111" t="str">
        <f>'SCHED-01'!B2</f>
        <v>Interview Scheduling</v>
      </c>
      <c r="D58" s="112">
        <f>'SCHED-01'!B6</f>
        <v>28</v>
      </c>
      <c r="E58" s="112">
        <f>'SCHED-01'!C6</f>
        <v>0</v>
      </c>
      <c r="F58" s="112">
        <f>'SCHED-01'!D6</f>
        <v>0</v>
      </c>
      <c r="G58" s="112">
        <f>'SCHED-01'!E6</f>
        <v>0</v>
      </c>
      <c r="H58" s="113">
        <f>'SCHED-01'!B4</f>
        <v>28</v>
      </c>
    </row>
    <row r="59" spans="2:8">
      <c r="B59" s="110">
        <v>49</v>
      </c>
      <c r="C59" s="111" t="str">
        <f>'SCHED-02'!B2</f>
        <v>WebSocket Notification</v>
      </c>
      <c r="D59" s="112">
        <f>'SCHED-02'!B6</f>
        <v>6</v>
      </c>
      <c r="E59" s="112">
        <f>'SCHED-02'!C6</f>
        <v>0</v>
      </c>
      <c r="F59" s="112">
        <f>'SCHED-02'!D6</f>
        <v>2</v>
      </c>
      <c r="G59" s="112">
        <f>'SCHED-02'!E6</f>
        <v>0</v>
      </c>
      <c r="H59" s="113">
        <f>'SCHED-02'!B4</f>
        <v>8</v>
      </c>
    </row>
    <row r="60" spans="2:8">
      <c r="B60" s="110">
        <v>50</v>
      </c>
      <c r="C60" s="111" t="str">
        <f>'SCHED-03'!B2</f>
        <v>Email Notification</v>
      </c>
      <c r="D60" s="112">
        <f>'SCHED-03'!B6</f>
        <v>0</v>
      </c>
      <c r="E60" s="112">
        <f>'SCHED-03'!C6</f>
        <v>0</v>
      </c>
      <c r="F60" s="112">
        <f>'SCHED-03'!D6</f>
        <v>0</v>
      </c>
      <c r="G60" s="112">
        <f>'SCHED-03'!E6</f>
        <v>0</v>
      </c>
      <c r="H60" s="113">
        <f>'SCHED-03'!B4</f>
        <v>0</v>
      </c>
    </row>
    <row r="61" spans="2:8">
      <c r="B61" s="110">
        <v>51</v>
      </c>
      <c r="C61" s="111" t="str">
        <f>'WF-01'!B2</f>
        <v>Recruitment Pipeline</v>
      </c>
      <c r="D61" s="112">
        <f>'WF-01'!B6</f>
        <v>6</v>
      </c>
      <c r="E61" s="112">
        <f>'WF-01'!C6</f>
        <v>0</v>
      </c>
      <c r="F61" s="112">
        <f>'WF-01'!D6</f>
        <v>0</v>
      </c>
      <c r="G61" s="112">
        <f>'WF-01'!E6</f>
        <v>0</v>
      </c>
      <c r="H61" s="113">
        <f>'WF-01'!B4</f>
        <v>6</v>
      </c>
    </row>
    <row r="62" spans="2:8">
      <c r="B62" s="110">
        <v>52</v>
      </c>
      <c r="C62" s="111" t="str">
        <f>'WF-02'!B2</f>
        <v>Candidate Status Management</v>
      </c>
      <c r="D62" s="112">
        <f>'WF-02'!B6</f>
        <v>8</v>
      </c>
      <c r="E62" s="112">
        <f>'WF-02'!C6</f>
        <v>0</v>
      </c>
      <c r="F62" s="112">
        <f>'WF-02'!D6</f>
        <v>3</v>
      </c>
      <c r="G62" s="112">
        <f>'WF-02'!E6</f>
        <v>0</v>
      </c>
      <c r="H62" s="113">
        <f>'WF-02'!B4</f>
        <v>11</v>
      </c>
    </row>
    <row r="63" spans="2:8">
      <c r="B63" s="110">
        <v>53</v>
      </c>
      <c r="C63" s="111" t="str">
        <f>'WF-03'!B2</f>
        <v>Hiring Decision Management</v>
      </c>
      <c r="D63" s="112">
        <f>'WF-03'!B6</f>
        <v>0</v>
      </c>
      <c r="E63" s="112">
        <f>'WF-03'!C6</f>
        <v>0</v>
      </c>
      <c r="F63" s="112">
        <f>'WF-03'!D6</f>
        <v>5</v>
      </c>
      <c r="G63" s="112">
        <f>'WF-03'!E6</f>
        <v>0</v>
      </c>
      <c r="H63" s="113">
        <f>'WF-03'!B4</f>
        <v>5</v>
      </c>
    </row>
    <row r="65" spans="2:8">
      <c r="B65" s="110"/>
      <c r="C65" s="111" t="s">
        <v>202</v>
      </c>
      <c r="D65" s="112">
        <f>SUM(D11:D63)</f>
        <v>424</v>
      </c>
      <c r="E65" s="112">
        <f>SUM(E11:E63)</f>
        <v>70</v>
      </c>
      <c r="F65" s="112">
        <f>SUM(F11:F63)</f>
        <v>72</v>
      </c>
      <c r="G65" s="112">
        <f>SUM(G11:G63)</f>
        <v>4</v>
      </c>
      <c r="H65" s="113">
        <f>SUM(H11:H63)</f>
        <v>570</v>
      </c>
    </row>
    <row r="67" spans="2:8">
      <c r="B67" s="110"/>
      <c r="C67" s="111" t="s">
        <v>203</v>
      </c>
      <c r="D67" s="112"/>
      <c r="E67" s="112">
        <f>(D65+E65)*100/(H65-G65)</f>
        <v>87.279151943462892</v>
      </c>
      <c r="F67" s="112" t="s">
        <v>204</v>
      </c>
      <c r="G67" s="112"/>
      <c r="H67" s="113"/>
    </row>
    <row r="68" spans="2:8">
      <c r="B68" s="110"/>
      <c r="C68" s="111" t="s">
        <v>205</v>
      </c>
      <c r="D68" s="112"/>
      <c r="E68" s="112">
        <f>D65*100/(H65-G65)</f>
        <v>74.911660777385165</v>
      </c>
      <c r="F68" s="112" t="s">
        <v>204</v>
      </c>
      <c r="G68" s="112"/>
      <c r="H68" s="113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67" right="0.74791666666666667" top="0.98402777777777783" bottom="0.98402777777777772" header="0.51180555555555562" footer="0.5"/>
  <pageSetup firstPageNumber="0" orientation="landscape" horizontalDpi="300" verticalDpi="300"/>
  <headerFooter alignWithMargins="0">
    <oddFooter>&amp;L&amp;"Tahoma,Regular"&amp;8 02ae-BM/PM/HDCV/FSOFT v2/0&amp;C&amp;"tahoma,Regular"&amp;8 Internal use&amp;R&amp;"Tahoma,Regular"&amp;8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40"/>
  <sheetViews>
    <sheetView topLeftCell="A37"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28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30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19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0</v>
      </c>
      <c r="C6" s="60">
        <f>COUNTIF($F$11:$F$2000,C$5)</f>
        <v>19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221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63.95" customHeight="1" outlineLevel="1">
      <c r="A12" s="117" t="s">
        <v>222</v>
      </c>
      <c r="B12" s="118" t="s">
        <v>223</v>
      </c>
      <c r="C12" s="118" t="s">
        <v>224</v>
      </c>
      <c r="D12" s="119" t="s">
        <v>225</v>
      </c>
      <c r="E12" s="119" t="s">
        <v>226</v>
      </c>
      <c r="F12" s="117" t="s">
        <v>198</v>
      </c>
      <c r="G12" s="117" t="s">
        <v>6</v>
      </c>
      <c r="H12" s="117" t="s">
        <v>227</v>
      </c>
      <c r="I12" s="117"/>
      <c r="J12" s="117"/>
      <c r="K12" s="117"/>
      <c r="L12" s="117"/>
      <c r="M12" s="117"/>
      <c r="N12" s="117"/>
      <c r="O12" s="120" t="s">
        <v>228</v>
      </c>
    </row>
    <row r="13" spans="1:18" ht="15.75" customHeight="1" outlineLevel="1">
      <c r="A13" s="114" t="s">
        <v>229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78.95" customHeight="1" outlineLevel="1">
      <c r="A14" s="117" t="s">
        <v>230</v>
      </c>
      <c r="B14" s="118" t="s">
        <v>231</v>
      </c>
      <c r="C14" s="118" t="s">
        <v>232</v>
      </c>
      <c r="D14" s="119" t="s">
        <v>225</v>
      </c>
      <c r="E14" s="119" t="s">
        <v>233</v>
      </c>
      <c r="F14" s="117" t="s">
        <v>198</v>
      </c>
      <c r="G14" s="117" t="s">
        <v>6</v>
      </c>
      <c r="H14" s="117" t="s">
        <v>227</v>
      </c>
      <c r="I14" s="117"/>
      <c r="J14" s="117"/>
      <c r="K14" s="117"/>
      <c r="L14" s="117"/>
      <c r="M14" s="117"/>
      <c r="N14" s="117"/>
      <c r="O14" s="120" t="s">
        <v>228</v>
      </c>
    </row>
    <row r="15" spans="1:18" s="21" customFormat="1" ht="15.75" customHeight="1">
      <c r="A15" s="114" t="s">
        <v>234</v>
      </c>
      <c r="B15" s="114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6"/>
    </row>
    <row r="16" spans="1:18" ht="78.95" customHeight="1" outlineLevel="1">
      <c r="A16" s="117" t="s">
        <v>235</v>
      </c>
      <c r="B16" s="118" t="s">
        <v>236</v>
      </c>
      <c r="C16" s="118" t="s">
        <v>237</v>
      </c>
      <c r="D16" s="119" t="s">
        <v>238</v>
      </c>
      <c r="E16" s="119" t="s">
        <v>226</v>
      </c>
      <c r="F16" s="117" t="s">
        <v>198</v>
      </c>
      <c r="G16" s="117" t="s">
        <v>6</v>
      </c>
      <c r="H16" s="117" t="s">
        <v>227</v>
      </c>
      <c r="I16" s="117"/>
      <c r="J16" s="117"/>
      <c r="K16" s="117"/>
      <c r="L16" s="117"/>
      <c r="M16" s="117"/>
      <c r="N16" s="117"/>
      <c r="O16" s="120" t="s">
        <v>228</v>
      </c>
    </row>
    <row r="17" spans="1:15" ht="123.95" customHeight="1" outlineLevel="1">
      <c r="A17" s="117" t="s">
        <v>239</v>
      </c>
      <c r="B17" s="118" t="s">
        <v>240</v>
      </c>
      <c r="C17" s="118" t="s">
        <v>241</v>
      </c>
      <c r="D17" s="119" t="s">
        <v>242</v>
      </c>
      <c r="E17" s="119" t="s">
        <v>226</v>
      </c>
      <c r="F17" s="117" t="s">
        <v>198</v>
      </c>
      <c r="G17" s="117" t="s">
        <v>6</v>
      </c>
      <c r="H17" s="117" t="s">
        <v>227</v>
      </c>
      <c r="I17" s="117"/>
      <c r="J17" s="117"/>
      <c r="K17" s="117"/>
      <c r="L17" s="117"/>
      <c r="M17" s="117"/>
      <c r="N17" s="117"/>
      <c r="O17" s="120" t="s">
        <v>228</v>
      </c>
    </row>
    <row r="18" spans="1:15" s="21" customFormat="1" ht="15.75" customHeight="1">
      <c r="A18" s="114" t="s">
        <v>243</v>
      </c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</row>
    <row r="19" spans="1:15" ht="78.95" customHeight="1" outlineLevel="1">
      <c r="A19" s="117" t="s">
        <v>244</v>
      </c>
      <c r="B19" s="118" t="s">
        <v>245</v>
      </c>
      <c r="C19" s="118" t="s">
        <v>246</v>
      </c>
      <c r="D19" s="119" t="s">
        <v>247</v>
      </c>
      <c r="E19" s="119" t="s">
        <v>248</v>
      </c>
      <c r="F19" s="117" t="s">
        <v>198</v>
      </c>
      <c r="G19" s="117" t="s">
        <v>6</v>
      </c>
      <c r="H19" s="117" t="s">
        <v>227</v>
      </c>
      <c r="I19" s="117"/>
      <c r="J19" s="117"/>
      <c r="K19" s="117"/>
      <c r="L19" s="117"/>
      <c r="M19" s="117"/>
      <c r="N19" s="117"/>
      <c r="O19" s="120" t="s">
        <v>228</v>
      </c>
    </row>
    <row r="20" spans="1:15" ht="123.95" customHeight="1">
      <c r="A20" s="117" t="s">
        <v>249</v>
      </c>
      <c r="B20" s="118" t="s">
        <v>250</v>
      </c>
      <c r="C20" s="118" t="s">
        <v>251</v>
      </c>
      <c r="D20" s="119" t="s">
        <v>242</v>
      </c>
      <c r="E20" s="119" t="s">
        <v>248</v>
      </c>
      <c r="F20" s="117" t="s">
        <v>198</v>
      </c>
      <c r="G20" s="117" t="s">
        <v>6</v>
      </c>
      <c r="H20" s="117" t="s">
        <v>227</v>
      </c>
      <c r="I20" s="117"/>
      <c r="J20" s="117"/>
      <c r="K20" s="117"/>
      <c r="L20" s="117"/>
      <c r="M20" s="117"/>
      <c r="N20" s="117"/>
      <c r="O20" s="120" t="s">
        <v>228</v>
      </c>
    </row>
    <row r="21" spans="1:15" ht="15.75" customHeight="1">
      <c r="A21" s="114" t="s">
        <v>252</v>
      </c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6"/>
    </row>
    <row r="22" spans="1:15" ht="78.95" customHeight="1">
      <c r="A22" s="117" t="s">
        <v>253</v>
      </c>
      <c r="B22" s="118" t="s">
        <v>254</v>
      </c>
      <c r="C22" s="118" t="s">
        <v>255</v>
      </c>
      <c r="D22" s="119" t="s">
        <v>225</v>
      </c>
      <c r="E22" s="119" t="s">
        <v>248</v>
      </c>
      <c r="F22" s="117" t="s">
        <v>198</v>
      </c>
      <c r="G22" s="117" t="s">
        <v>6</v>
      </c>
      <c r="H22" s="117" t="s">
        <v>227</v>
      </c>
      <c r="I22" s="117"/>
      <c r="J22" s="117"/>
      <c r="K22" s="117"/>
      <c r="L22" s="117"/>
      <c r="M22" s="117"/>
      <c r="N22" s="117"/>
      <c r="O22" s="120" t="s">
        <v>228</v>
      </c>
    </row>
    <row r="23" spans="1:15" ht="15.75" customHeight="1">
      <c r="A23" s="114" t="s">
        <v>256</v>
      </c>
      <c r="B23" s="114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6"/>
    </row>
    <row r="24" spans="1:15" ht="78.95" customHeight="1">
      <c r="A24" s="117" t="s">
        <v>257</v>
      </c>
      <c r="B24" s="118" t="s">
        <v>258</v>
      </c>
      <c r="C24" s="118" t="s">
        <v>259</v>
      </c>
      <c r="D24" s="119" t="s">
        <v>260</v>
      </c>
      <c r="E24" s="119" t="s">
        <v>248</v>
      </c>
      <c r="F24" s="117" t="s">
        <v>198</v>
      </c>
      <c r="G24" s="117" t="s">
        <v>6</v>
      </c>
      <c r="H24" s="117" t="s">
        <v>227</v>
      </c>
      <c r="I24" s="117"/>
      <c r="J24" s="117"/>
      <c r="K24" s="117"/>
      <c r="L24" s="117"/>
      <c r="M24" s="117"/>
      <c r="N24" s="117"/>
      <c r="O24" s="120" t="s">
        <v>228</v>
      </c>
    </row>
    <row r="25" spans="1:15" ht="108.95" customHeight="1">
      <c r="A25" s="117" t="s">
        <v>261</v>
      </c>
      <c r="B25" s="118" t="s">
        <v>262</v>
      </c>
      <c r="C25" s="118" t="s">
        <v>263</v>
      </c>
      <c r="D25" s="119" t="s">
        <v>242</v>
      </c>
      <c r="E25" s="119" t="s">
        <v>248</v>
      </c>
      <c r="F25" s="117" t="s">
        <v>198</v>
      </c>
      <c r="G25" s="117" t="s">
        <v>6</v>
      </c>
      <c r="H25" s="117" t="s">
        <v>227</v>
      </c>
      <c r="I25" s="117"/>
      <c r="J25" s="117"/>
      <c r="K25" s="117"/>
      <c r="L25" s="117"/>
      <c r="M25" s="117"/>
      <c r="N25" s="117"/>
      <c r="O25" s="120" t="s">
        <v>228</v>
      </c>
    </row>
    <row r="26" spans="1:15" ht="15.75" customHeight="1">
      <c r="A26" s="114" t="s">
        <v>264</v>
      </c>
      <c r="B26" s="114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</row>
    <row r="27" spans="1:15" ht="78.95" customHeight="1">
      <c r="A27" s="117" t="s">
        <v>265</v>
      </c>
      <c r="B27" s="118" t="s">
        <v>266</v>
      </c>
      <c r="C27" s="118" t="s">
        <v>267</v>
      </c>
      <c r="D27" s="119" t="s">
        <v>238</v>
      </c>
      <c r="E27" s="119" t="s">
        <v>248</v>
      </c>
      <c r="F27" s="117" t="s">
        <v>198</v>
      </c>
      <c r="G27" s="117" t="s">
        <v>6</v>
      </c>
      <c r="H27" s="117" t="s">
        <v>227</v>
      </c>
      <c r="I27" s="117"/>
      <c r="J27" s="117"/>
      <c r="K27" s="117"/>
      <c r="L27" s="117"/>
      <c r="M27" s="117"/>
      <c r="N27" s="117"/>
      <c r="O27" s="120" t="s">
        <v>228</v>
      </c>
    </row>
    <row r="28" spans="1:15" ht="123.95" customHeight="1">
      <c r="A28" s="117" t="s">
        <v>268</v>
      </c>
      <c r="B28" s="118" t="s">
        <v>269</v>
      </c>
      <c r="C28" s="118" t="s">
        <v>270</v>
      </c>
      <c r="D28" s="119" t="s">
        <v>242</v>
      </c>
      <c r="E28" s="119" t="s">
        <v>248</v>
      </c>
      <c r="F28" s="117" t="s">
        <v>198</v>
      </c>
      <c r="G28" s="117" t="s">
        <v>6</v>
      </c>
      <c r="H28" s="117" t="s">
        <v>227</v>
      </c>
      <c r="I28" s="117"/>
      <c r="J28" s="117"/>
      <c r="K28" s="117"/>
      <c r="L28" s="117"/>
      <c r="M28" s="117"/>
      <c r="N28" s="117"/>
      <c r="O28" s="120" t="s">
        <v>228</v>
      </c>
    </row>
    <row r="29" spans="1:15" ht="15.75" customHeight="1">
      <c r="A29" s="114" t="s">
        <v>271</v>
      </c>
      <c r="B29" s="114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6"/>
    </row>
    <row r="30" spans="1:15" ht="78.95" customHeight="1">
      <c r="A30" s="117" t="s">
        <v>272</v>
      </c>
      <c r="B30" s="118" t="s">
        <v>273</v>
      </c>
      <c r="C30" s="118" t="s">
        <v>274</v>
      </c>
      <c r="D30" s="119" t="s">
        <v>238</v>
      </c>
      <c r="E30" s="119" t="s">
        <v>248</v>
      </c>
      <c r="F30" s="117" t="s">
        <v>198</v>
      </c>
      <c r="G30" s="117" t="s">
        <v>6</v>
      </c>
      <c r="H30" s="117" t="s">
        <v>227</v>
      </c>
      <c r="I30" s="117"/>
      <c r="J30" s="117"/>
      <c r="K30" s="117"/>
      <c r="L30" s="117"/>
      <c r="M30" s="117"/>
      <c r="N30" s="117"/>
      <c r="O30" s="120" t="s">
        <v>228</v>
      </c>
    </row>
    <row r="31" spans="1:15" ht="123.95" customHeight="1">
      <c r="A31" s="117" t="s">
        <v>275</v>
      </c>
      <c r="B31" s="118" t="s">
        <v>276</v>
      </c>
      <c r="C31" s="118" t="s">
        <v>277</v>
      </c>
      <c r="D31" s="119" t="s">
        <v>242</v>
      </c>
      <c r="E31" s="119" t="s">
        <v>248</v>
      </c>
      <c r="F31" s="117" t="s">
        <v>198</v>
      </c>
      <c r="G31" s="117" t="s">
        <v>6</v>
      </c>
      <c r="H31" s="117" t="s">
        <v>227</v>
      </c>
      <c r="I31" s="117"/>
      <c r="J31" s="117"/>
      <c r="K31" s="117"/>
      <c r="L31" s="117"/>
      <c r="M31" s="117"/>
      <c r="N31" s="117"/>
      <c r="O31" s="120" t="s">
        <v>228</v>
      </c>
    </row>
    <row r="32" spans="1:15" ht="15.75" customHeight="1">
      <c r="A32" s="114" t="s">
        <v>278</v>
      </c>
      <c r="B32" s="114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6"/>
    </row>
    <row r="33" spans="1:15" ht="93.95" customHeight="1">
      <c r="A33" s="117" t="s">
        <v>279</v>
      </c>
      <c r="B33" s="118" t="s">
        <v>280</v>
      </c>
      <c r="C33" s="118" t="s">
        <v>281</v>
      </c>
      <c r="D33" s="119" t="s">
        <v>282</v>
      </c>
      <c r="E33" s="119" t="s">
        <v>248</v>
      </c>
      <c r="F33" s="117" t="s">
        <v>198</v>
      </c>
      <c r="G33" s="117" t="s">
        <v>6</v>
      </c>
      <c r="H33" s="117" t="s">
        <v>227</v>
      </c>
      <c r="I33" s="117"/>
      <c r="J33" s="117"/>
      <c r="K33" s="117"/>
      <c r="L33" s="117"/>
      <c r="M33" s="117"/>
      <c r="N33" s="117"/>
      <c r="O33" s="120" t="s">
        <v>228</v>
      </c>
    </row>
    <row r="34" spans="1:15" ht="123.95" customHeight="1">
      <c r="A34" s="117" t="s">
        <v>283</v>
      </c>
      <c r="B34" s="118" t="s">
        <v>284</v>
      </c>
      <c r="C34" s="118" t="s">
        <v>285</v>
      </c>
      <c r="D34" s="119" t="s">
        <v>242</v>
      </c>
      <c r="E34" s="119" t="s">
        <v>248</v>
      </c>
      <c r="F34" s="117" t="s">
        <v>198</v>
      </c>
      <c r="G34" s="117" t="s">
        <v>6</v>
      </c>
      <c r="H34" s="117" t="s">
        <v>227</v>
      </c>
      <c r="I34" s="117"/>
      <c r="J34" s="117"/>
      <c r="K34" s="117"/>
      <c r="L34" s="117"/>
      <c r="M34" s="117"/>
      <c r="N34" s="117"/>
      <c r="O34" s="120" t="s">
        <v>228</v>
      </c>
    </row>
    <row r="35" spans="1:15" ht="15.75" customHeight="1">
      <c r="A35" s="114" t="s">
        <v>286</v>
      </c>
      <c r="B35" s="114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6"/>
    </row>
    <row r="36" spans="1:15" ht="78.95" customHeight="1">
      <c r="A36" s="117" t="s">
        <v>287</v>
      </c>
      <c r="B36" s="118" t="s">
        <v>288</v>
      </c>
      <c r="C36" s="118" t="s">
        <v>289</v>
      </c>
      <c r="D36" s="119" t="s">
        <v>282</v>
      </c>
      <c r="E36" s="119" t="s">
        <v>248</v>
      </c>
      <c r="F36" s="117" t="s">
        <v>198</v>
      </c>
      <c r="G36" s="117" t="s">
        <v>6</v>
      </c>
      <c r="H36" s="117" t="s">
        <v>227</v>
      </c>
      <c r="I36" s="117"/>
      <c r="J36" s="117"/>
      <c r="K36" s="117"/>
      <c r="L36" s="117"/>
      <c r="M36" s="117"/>
      <c r="N36" s="117"/>
      <c r="O36" s="120" t="s">
        <v>228</v>
      </c>
    </row>
    <row r="37" spans="1:15" ht="123.95" customHeight="1">
      <c r="A37" s="117" t="s">
        <v>290</v>
      </c>
      <c r="B37" s="118" t="s">
        <v>291</v>
      </c>
      <c r="C37" s="118" t="s">
        <v>292</v>
      </c>
      <c r="D37" s="119" t="s">
        <v>242</v>
      </c>
      <c r="E37" s="119" t="s">
        <v>248</v>
      </c>
      <c r="F37" s="117" t="s">
        <v>198</v>
      </c>
      <c r="G37" s="117" t="s">
        <v>6</v>
      </c>
      <c r="H37" s="117" t="s">
        <v>227</v>
      </c>
      <c r="I37" s="117"/>
      <c r="J37" s="117"/>
      <c r="K37" s="117"/>
      <c r="L37" s="117"/>
      <c r="M37" s="117"/>
      <c r="N37" s="117"/>
      <c r="O37" s="120" t="s">
        <v>228</v>
      </c>
    </row>
    <row r="38" spans="1:15" ht="15.75" customHeight="1">
      <c r="A38" s="114" t="s">
        <v>293</v>
      </c>
      <c r="B38" s="114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6"/>
    </row>
    <row r="39" spans="1:15" ht="78.95" customHeight="1">
      <c r="A39" s="117" t="s">
        <v>294</v>
      </c>
      <c r="B39" s="118" t="s">
        <v>295</v>
      </c>
      <c r="C39" s="118" t="s">
        <v>296</v>
      </c>
      <c r="D39" s="119" t="s">
        <v>297</v>
      </c>
      <c r="E39" s="119" t="s">
        <v>298</v>
      </c>
      <c r="F39" s="117" t="s">
        <v>198</v>
      </c>
      <c r="G39" s="117" t="s">
        <v>6</v>
      </c>
      <c r="H39" s="117" t="s">
        <v>227</v>
      </c>
      <c r="I39" s="117"/>
      <c r="J39" s="117"/>
      <c r="K39" s="117"/>
      <c r="L39" s="117"/>
      <c r="M39" s="117"/>
      <c r="N39" s="117"/>
      <c r="O39" s="120" t="s">
        <v>228</v>
      </c>
    </row>
    <row r="40" spans="1:15" ht="63.95" customHeight="1">
      <c r="A40" s="117" t="s">
        <v>299</v>
      </c>
      <c r="B40" s="118" t="s">
        <v>300</v>
      </c>
      <c r="C40" s="118" t="s">
        <v>301</v>
      </c>
      <c r="D40" s="119" t="s">
        <v>302</v>
      </c>
      <c r="E40" s="119" t="s">
        <v>303</v>
      </c>
      <c r="F40" s="117" t="s">
        <v>198</v>
      </c>
      <c r="G40" s="117" t="s">
        <v>6</v>
      </c>
      <c r="H40" s="117" t="s">
        <v>227</v>
      </c>
      <c r="I40" s="117"/>
      <c r="J40" s="117"/>
      <c r="K40" s="117"/>
      <c r="L40" s="117"/>
      <c r="M40" s="117"/>
      <c r="N40" s="117"/>
      <c r="O40" s="120" t="s">
        <v>228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03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36"/>
  <sheetViews>
    <sheetView topLeftCell="A35"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32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34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16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16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304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305</v>
      </c>
      <c r="B12" s="118" t="s">
        <v>306</v>
      </c>
      <c r="C12" s="118" t="s">
        <v>307</v>
      </c>
      <c r="D12" s="119" t="s">
        <v>225</v>
      </c>
      <c r="E12" s="119" t="s">
        <v>226</v>
      </c>
      <c r="F12" s="117" t="s">
        <v>197</v>
      </c>
      <c r="G12" s="117" t="s">
        <v>308</v>
      </c>
      <c r="H12" s="117" t="s">
        <v>227</v>
      </c>
      <c r="I12" s="117"/>
      <c r="J12" s="117"/>
      <c r="K12" s="117"/>
      <c r="L12" s="117"/>
      <c r="M12" s="117"/>
      <c r="N12" s="117"/>
      <c r="O12" s="120" t="s">
        <v>309</v>
      </c>
    </row>
    <row r="13" spans="1:18" ht="15.75" customHeight="1" outlineLevel="1">
      <c r="A13" s="114" t="s">
        <v>310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78.95" customHeight="1" outlineLevel="1">
      <c r="A14" s="117" t="s">
        <v>311</v>
      </c>
      <c r="B14" s="118" t="s">
        <v>312</v>
      </c>
      <c r="C14" s="118" t="s">
        <v>313</v>
      </c>
      <c r="D14" s="119" t="s">
        <v>238</v>
      </c>
      <c r="E14" s="119" t="s">
        <v>226</v>
      </c>
      <c r="F14" s="117" t="s">
        <v>197</v>
      </c>
      <c r="G14" s="117" t="s">
        <v>308</v>
      </c>
      <c r="H14" s="117" t="s">
        <v>227</v>
      </c>
      <c r="I14" s="117"/>
      <c r="J14" s="117"/>
      <c r="K14" s="117"/>
      <c r="L14" s="117"/>
      <c r="M14" s="117"/>
      <c r="N14" s="117"/>
      <c r="O14" s="120" t="s">
        <v>309</v>
      </c>
    </row>
    <row r="15" spans="1:18" s="21" customFormat="1" ht="108.95" customHeight="1">
      <c r="A15" s="117" t="s">
        <v>314</v>
      </c>
      <c r="B15" s="118" t="s">
        <v>315</v>
      </c>
      <c r="C15" s="118" t="s">
        <v>316</v>
      </c>
      <c r="D15" s="119" t="s">
        <v>242</v>
      </c>
      <c r="E15" s="119" t="s">
        <v>226</v>
      </c>
      <c r="F15" s="117" t="s">
        <v>197</v>
      </c>
      <c r="G15" s="117" t="s">
        <v>308</v>
      </c>
      <c r="H15" s="117" t="s">
        <v>227</v>
      </c>
      <c r="I15" s="117"/>
      <c r="J15" s="117"/>
      <c r="K15" s="117"/>
      <c r="L15" s="117"/>
      <c r="M15" s="117"/>
      <c r="N15" s="117"/>
      <c r="O15" s="120" t="s">
        <v>309</v>
      </c>
    </row>
    <row r="16" spans="1:18" ht="15.75" customHeight="1" outlineLevel="1">
      <c r="A16" s="114" t="s">
        <v>317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78.95" customHeight="1" outlineLevel="1">
      <c r="A17" s="117" t="s">
        <v>318</v>
      </c>
      <c r="B17" s="118" t="s">
        <v>319</v>
      </c>
      <c r="C17" s="118" t="s">
        <v>320</v>
      </c>
      <c r="D17" s="119" t="s">
        <v>225</v>
      </c>
      <c r="E17" s="119" t="s">
        <v>226</v>
      </c>
      <c r="F17" s="117" t="s">
        <v>197</v>
      </c>
      <c r="G17" s="117" t="s">
        <v>308</v>
      </c>
      <c r="H17" s="117" t="s">
        <v>227</v>
      </c>
      <c r="I17" s="117"/>
      <c r="J17" s="117"/>
      <c r="K17" s="117"/>
      <c r="L17" s="117"/>
      <c r="M17" s="117"/>
      <c r="N17" s="117"/>
      <c r="O17" s="120" t="s">
        <v>309</v>
      </c>
    </row>
    <row r="18" spans="1:15" s="21" customFormat="1" ht="15.75" customHeight="1">
      <c r="A18" s="114" t="s">
        <v>321</v>
      </c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</row>
    <row r="19" spans="1:15" ht="78.95" customHeight="1" outlineLevel="1">
      <c r="A19" s="117" t="s">
        <v>322</v>
      </c>
      <c r="B19" s="118" t="s">
        <v>323</v>
      </c>
      <c r="C19" s="118" t="s">
        <v>324</v>
      </c>
      <c r="D19" s="119" t="s">
        <v>225</v>
      </c>
      <c r="E19" s="119" t="s">
        <v>248</v>
      </c>
      <c r="F19" s="117" t="s">
        <v>197</v>
      </c>
      <c r="G19" s="117" t="s">
        <v>308</v>
      </c>
      <c r="H19" s="117" t="s">
        <v>227</v>
      </c>
      <c r="I19" s="117"/>
      <c r="J19" s="117"/>
      <c r="K19" s="117"/>
      <c r="L19" s="117"/>
      <c r="M19" s="117"/>
      <c r="N19" s="117"/>
      <c r="O19" s="120" t="s">
        <v>309</v>
      </c>
    </row>
    <row r="20" spans="1:15" ht="15.75" customHeight="1">
      <c r="A20" s="114" t="s">
        <v>325</v>
      </c>
      <c r="B20" s="114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6"/>
    </row>
    <row r="21" spans="1:15" ht="93.95" customHeight="1">
      <c r="A21" s="117" t="s">
        <v>326</v>
      </c>
      <c r="B21" s="118" t="s">
        <v>327</v>
      </c>
      <c r="C21" s="118" t="s">
        <v>328</v>
      </c>
      <c r="D21" s="119" t="s">
        <v>260</v>
      </c>
      <c r="E21" s="119" t="s">
        <v>248</v>
      </c>
      <c r="F21" s="117" t="s">
        <v>197</v>
      </c>
      <c r="G21" s="117" t="s">
        <v>308</v>
      </c>
      <c r="H21" s="117" t="s">
        <v>227</v>
      </c>
      <c r="I21" s="117"/>
      <c r="J21" s="117"/>
      <c r="K21" s="117"/>
      <c r="L21" s="117"/>
      <c r="M21" s="117"/>
      <c r="N21" s="117"/>
      <c r="O21" s="120" t="s">
        <v>309</v>
      </c>
    </row>
    <row r="22" spans="1:15" ht="123.95" customHeight="1">
      <c r="A22" s="117" t="s">
        <v>329</v>
      </c>
      <c r="B22" s="118" t="s">
        <v>330</v>
      </c>
      <c r="C22" s="118" t="s">
        <v>331</v>
      </c>
      <c r="D22" s="119" t="s">
        <v>242</v>
      </c>
      <c r="E22" s="119" t="s">
        <v>248</v>
      </c>
      <c r="F22" s="117" t="s">
        <v>197</v>
      </c>
      <c r="G22" s="117" t="s">
        <v>308</v>
      </c>
      <c r="H22" s="117" t="s">
        <v>227</v>
      </c>
      <c r="I22" s="117"/>
      <c r="J22" s="117"/>
      <c r="K22" s="117"/>
      <c r="L22" s="117"/>
      <c r="M22" s="117"/>
      <c r="N22" s="117"/>
      <c r="O22" s="120" t="s">
        <v>309</v>
      </c>
    </row>
    <row r="23" spans="1:15" ht="15.75" customHeight="1">
      <c r="A23" s="114" t="s">
        <v>332</v>
      </c>
      <c r="B23" s="114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6"/>
    </row>
    <row r="24" spans="1:15" ht="78.95" customHeight="1">
      <c r="A24" s="117" t="s">
        <v>333</v>
      </c>
      <c r="B24" s="118" t="s">
        <v>334</v>
      </c>
      <c r="C24" s="118" t="s">
        <v>335</v>
      </c>
      <c r="D24" s="119" t="s">
        <v>225</v>
      </c>
      <c r="E24" s="119" t="s">
        <v>248</v>
      </c>
      <c r="F24" s="117" t="s">
        <v>197</v>
      </c>
      <c r="G24" s="117" t="s">
        <v>308</v>
      </c>
      <c r="H24" s="117" t="s">
        <v>227</v>
      </c>
      <c r="I24" s="117"/>
      <c r="J24" s="117"/>
      <c r="K24" s="117"/>
      <c r="L24" s="117"/>
      <c r="M24" s="117"/>
      <c r="N24" s="117"/>
      <c r="O24" s="120" t="s">
        <v>309</v>
      </c>
    </row>
    <row r="25" spans="1:15" ht="15.75" customHeight="1">
      <c r="A25" s="114" t="s">
        <v>336</v>
      </c>
      <c r="B25" s="114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6"/>
    </row>
    <row r="26" spans="1:15" ht="78.95" customHeight="1">
      <c r="A26" s="117" t="s">
        <v>337</v>
      </c>
      <c r="B26" s="118" t="s">
        <v>338</v>
      </c>
      <c r="C26" s="118" t="s">
        <v>339</v>
      </c>
      <c r="D26" s="119" t="s">
        <v>260</v>
      </c>
      <c r="E26" s="119" t="s">
        <v>248</v>
      </c>
      <c r="F26" s="117" t="s">
        <v>197</v>
      </c>
      <c r="G26" s="117" t="s">
        <v>308</v>
      </c>
      <c r="H26" s="117" t="s">
        <v>227</v>
      </c>
      <c r="I26" s="117"/>
      <c r="J26" s="117"/>
      <c r="K26" s="117"/>
      <c r="L26" s="117"/>
      <c r="M26" s="117"/>
      <c r="N26" s="117"/>
      <c r="O26" s="120" t="s">
        <v>309</v>
      </c>
    </row>
    <row r="27" spans="1:15" ht="123.95" customHeight="1">
      <c r="A27" s="117" t="s">
        <v>340</v>
      </c>
      <c r="B27" s="118" t="s">
        <v>341</v>
      </c>
      <c r="C27" s="118" t="s">
        <v>342</v>
      </c>
      <c r="D27" s="119" t="s">
        <v>242</v>
      </c>
      <c r="E27" s="119" t="s">
        <v>248</v>
      </c>
      <c r="F27" s="117" t="s">
        <v>197</v>
      </c>
      <c r="G27" s="117" t="s">
        <v>308</v>
      </c>
      <c r="H27" s="117" t="s">
        <v>227</v>
      </c>
      <c r="I27" s="117"/>
      <c r="J27" s="117"/>
      <c r="K27" s="117"/>
      <c r="L27" s="117"/>
      <c r="M27" s="117"/>
      <c r="N27" s="117"/>
      <c r="O27" s="120" t="s">
        <v>309</v>
      </c>
    </row>
    <row r="28" spans="1:15" ht="15.75" customHeight="1">
      <c r="A28" s="114" t="s">
        <v>343</v>
      </c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6"/>
    </row>
    <row r="29" spans="1:15" ht="93.95" customHeight="1">
      <c r="A29" s="117" t="s">
        <v>344</v>
      </c>
      <c r="B29" s="118" t="s">
        <v>345</v>
      </c>
      <c r="C29" s="118" t="s">
        <v>346</v>
      </c>
      <c r="D29" s="119" t="s">
        <v>238</v>
      </c>
      <c r="E29" s="119" t="s">
        <v>248</v>
      </c>
      <c r="F29" s="117" t="s">
        <v>197</v>
      </c>
      <c r="G29" s="117" t="s">
        <v>308</v>
      </c>
      <c r="H29" s="117" t="s">
        <v>227</v>
      </c>
      <c r="I29" s="117"/>
      <c r="J29" s="117"/>
      <c r="K29" s="117"/>
      <c r="L29" s="117"/>
      <c r="M29" s="117"/>
      <c r="N29" s="117"/>
      <c r="O29" s="120" t="s">
        <v>309</v>
      </c>
    </row>
    <row r="30" spans="1:15" ht="123.95" customHeight="1">
      <c r="A30" s="117" t="s">
        <v>347</v>
      </c>
      <c r="B30" s="118" t="s">
        <v>348</v>
      </c>
      <c r="C30" s="118" t="s">
        <v>349</v>
      </c>
      <c r="D30" s="119" t="s">
        <v>242</v>
      </c>
      <c r="E30" s="119" t="s">
        <v>248</v>
      </c>
      <c r="F30" s="117" t="s">
        <v>197</v>
      </c>
      <c r="G30" s="117" t="s">
        <v>308</v>
      </c>
      <c r="H30" s="117" t="s">
        <v>227</v>
      </c>
      <c r="I30" s="117"/>
      <c r="J30" s="117"/>
      <c r="K30" s="117"/>
      <c r="L30" s="117"/>
      <c r="M30" s="117"/>
      <c r="N30" s="117"/>
      <c r="O30" s="120" t="s">
        <v>309</v>
      </c>
    </row>
    <row r="31" spans="1:15" ht="15.75" customHeight="1">
      <c r="A31" s="114" t="s">
        <v>350</v>
      </c>
      <c r="B31" s="114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6"/>
    </row>
    <row r="32" spans="1:15" ht="93.95" customHeight="1">
      <c r="A32" s="117" t="s">
        <v>351</v>
      </c>
      <c r="B32" s="118" t="s">
        <v>352</v>
      </c>
      <c r="C32" s="118" t="s">
        <v>353</v>
      </c>
      <c r="D32" s="119" t="s">
        <v>282</v>
      </c>
      <c r="E32" s="119" t="s">
        <v>248</v>
      </c>
      <c r="F32" s="117" t="s">
        <v>197</v>
      </c>
      <c r="G32" s="117" t="s">
        <v>308</v>
      </c>
      <c r="H32" s="117" t="s">
        <v>227</v>
      </c>
      <c r="I32" s="117"/>
      <c r="J32" s="117"/>
      <c r="K32" s="117"/>
      <c r="L32" s="117"/>
      <c r="M32" s="117"/>
      <c r="N32" s="117"/>
      <c r="O32" s="120" t="s">
        <v>309</v>
      </c>
    </row>
    <row r="33" spans="1:15" ht="123.95" customHeight="1">
      <c r="A33" s="117" t="s">
        <v>354</v>
      </c>
      <c r="B33" s="118" t="s">
        <v>355</v>
      </c>
      <c r="C33" s="118" t="s">
        <v>356</v>
      </c>
      <c r="D33" s="119" t="s">
        <v>242</v>
      </c>
      <c r="E33" s="119" t="s">
        <v>248</v>
      </c>
      <c r="F33" s="117" t="s">
        <v>197</v>
      </c>
      <c r="G33" s="117" t="s">
        <v>308</v>
      </c>
      <c r="H33" s="117" t="s">
        <v>227</v>
      </c>
      <c r="I33" s="117"/>
      <c r="J33" s="117"/>
      <c r="K33" s="117"/>
      <c r="L33" s="117"/>
      <c r="M33" s="117"/>
      <c r="N33" s="117"/>
      <c r="O33" s="120" t="s">
        <v>309</v>
      </c>
    </row>
    <row r="34" spans="1:15" ht="15.75" customHeight="1">
      <c r="A34" s="114" t="s">
        <v>293</v>
      </c>
      <c r="B34" s="114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6"/>
    </row>
    <row r="35" spans="1:15" ht="78.95" customHeight="1">
      <c r="A35" s="117" t="s">
        <v>357</v>
      </c>
      <c r="B35" s="118" t="s">
        <v>295</v>
      </c>
      <c r="C35" s="118" t="s">
        <v>358</v>
      </c>
      <c r="D35" s="119" t="s">
        <v>297</v>
      </c>
      <c r="E35" s="119" t="s">
        <v>298</v>
      </c>
      <c r="F35" s="117" t="s">
        <v>197</v>
      </c>
      <c r="G35" s="117" t="s">
        <v>308</v>
      </c>
      <c r="H35" s="117" t="s">
        <v>227</v>
      </c>
      <c r="I35" s="117"/>
      <c r="J35" s="117"/>
      <c r="K35" s="117"/>
      <c r="L35" s="117"/>
      <c r="M35" s="117"/>
      <c r="N35" s="117"/>
      <c r="O35" s="120" t="s">
        <v>309</v>
      </c>
    </row>
    <row r="36" spans="1:15" ht="63.95" customHeight="1">
      <c r="A36" s="117" t="s">
        <v>359</v>
      </c>
      <c r="B36" s="118" t="s">
        <v>300</v>
      </c>
      <c r="C36" s="118" t="s">
        <v>301</v>
      </c>
      <c r="D36" s="119" t="s">
        <v>302</v>
      </c>
      <c r="E36" s="119" t="s">
        <v>303</v>
      </c>
      <c r="F36" s="117" t="s">
        <v>197</v>
      </c>
      <c r="G36" s="117" t="s">
        <v>308</v>
      </c>
      <c r="H36" s="117" t="s">
        <v>227</v>
      </c>
      <c r="I36" s="117"/>
      <c r="J36" s="117"/>
      <c r="K36" s="117"/>
      <c r="L36" s="117"/>
      <c r="M36" s="117"/>
      <c r="N36" s="117"/>
      <c r="O36" s="120" t="s">
        <v>309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04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42"/>
  <sheetViews>
    <sheetView topLeftCell="A41"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35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37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20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0</v>
      </c>
      <c r="C6" s="60">
        <f>COUNTIF($F$11:$F$2000,C$5)</f>
        <v>20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360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63.95" customHeight="1" outlineLevel="1">
      <c r="A12" s="117" t="s">
        <v>361</v>
      </c>
      <c r="B12" s="118" t="s">
        <v>362</v>
      </c>
      <c r="C12" s="118" t="s">
        <v>363</v>
      </c>
      <c r="D12" s="119" t="s">
        <v>225</v>
      </c>
      <c r="E12" s="119" t="s">
        <v>226</v>
      </c>
      <c r="F12" s="117" t="s">
        <v>198</v>
      </c>
      <c r="G12" s="117" t="s">
        <v>6</v>
      </c>
      <c r="H12" s="117" t="s">
        <v>227</v>
      </c>
      <c r="I12" s="117"/>
      <c r="J12" s="117"/>
      <c r="K12" s="117"/>
      <c r="L12" s="117"/>
      <c r="M12" s="117"/>
      <c r="N12" s="117"/>
      <c r="O12" s="120" t="s">
        <v>364</v>
      </c>
    </row>
    <row r="13" spans="1:18" ht="15.75" customHeight="1" outlineLevel="1">
      <c r="A13" s="114" t="s">
        <v>365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78.95" customHeight="1" outlineLevel="1">
      <c r="A14" s="117" t="s">
        <v>366</v>
      </c>
      <c r="B14" s="118" t="s">
        <v>367</v>
      </c>
      <c r="C14" s="118" t="s">
        <v>368</v>
      </c>
      <c r="D14" s="119" t="s">
        <v>238</v>
      </c>
      <c r="E14" s="119" t="s">
        <v>226</v>
      </c>
      <c r="F14" s="117" t="s">
        <v>198</v>
      </c>
      <c r="G14" s="117" t="s">
        <v>6</v>
      </c>
      <c r="H14" s="117" t="s">
        <v>227</v>
      </c>
      <c r="I14" s="117"/>
      <c r="J14" s="117"/>
      <c r="K14" s="117"/>
      <c r="L14" s="117"/>
      <c r="M14" s="117"/>
      <c r="N14" s="117"/>
      <c r="O14" s="120" t="s">
        <v>364</v>
      </c>
    </row>
    <row r="15" spans="1:18" s="21" customFormat="1" ht="108.95" customHeight="1">
      <c r="A15" s="117" t="s">
        <v>369</v>
      </c>
      <c r="B15" s="118" t="s">
        <v>370</v>
      </c>
      <c r="C15" s="118" t="s">
        <v>371</v>
      </c>
      <c r="D15" s="119" t="s">
        <v>242</v>
      </c>
      <c r="E15" s="119" t="s">
        <v>226</v>
      </c>
      <c r="F15" s="117" t="s">
        <v>198</v>
      </c>
      <c r="G15" s="117" t="s">
        <v>6</v>
      </c>
      <c r="H15" s="117" t="s">
        <v>227</v>
      </c>
      <c r="I15" s="117"/>
      <c r="J15" s="117"/>
      <c r="K15" s="117"/>
      <c r="L15" s="117"/>
      <c r="M15" s="117"/>
      <c r="N15" s="117"/>
      <c r="O15" s="120" t="s">
        <v>364</v>
      </c>
    </row>
    <row r="16" spans="1:18" ht="15.75" customHeight="1" outlineLevel="1">
      <c r="A16" s="114" t="s">
        <v>372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78.95" customHeight="1" outlineLevel="1">
      <c r="A17" s="117" t="s">
        <v>373</v>
      </c>
      <c r="B17" s="118" t="s">
        <v>374</v>
      </c>
      <c r="C17" s="118" t="s">
        <v>375</v>
      </c>
      <c r="D17" s="119" t="s">
        <v>225</v>
      </c>
      <c r="E17" s="119" t="s">
        <v>248</v>
      </c>
      <c r="F17" s="117" t="s">
        <v>198</v>
      </c>
      <c r="G17" s="117" t="s">
        <v>6</v>
      </c>
      <c r="H17" s="117" t="s">
        <v>227</v>
      </c>
      <c r="I17" s="117"/>
      <c r="J17" s="117"/>
      <c r="K17" s="117"/>
      <c r="L17" s="117"/>
      <c r="M17" s="117"/>
      <c r="N17" s="117"/>
      <c r="O17" s="120" t="s">
        <v>364</v>
      </c>
    </row>
    <row r="18" spans="1:15" s="21" customFormat="1" ht="15.75" customHeight="1">
      <c r="A18" s="114" t="s">
        <v>376</v>
      </c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</row>
    <row r="19" spans="1:15" ht="78.95" customHeight="1" outlineLevel="1">
      <c r="A19" s="117" t="s">
        <v>377</v>
      </c>
      <c r="B19" s="118" t="s">
        <v>378</v>
      </c>
      <c r="C19" s="118" t="s">
        <v>379</v>
      </c>
      <c r="D19" s="119" t="s">
        <v>238</v>
      </c>
      <c r="E19" s="119" t="s">
        <v>248</v>
      </c>
      <c r="F19" s="117" t="s">
        <v>198</v>
      </c>
      <c r="G19" s="117" t="s">
        <v>6</v>
      </c>
      <c r="H19" s="117" t="s">
        <v>227</v>
      </c>
      <c r="I19" s="117"/>
      <c r="J19" s="117"/>
      <c r="K19" s="117"/>
      <c r="L19" s="117"/>
      <c r="M19" s="117"/>
      <c r="N19" s="117"/>
      <c r="O19" s="120" t="s">
        <v>364</v>
      </c>
    </row>
    <row r="20" spans="1:15" ht="123.95" customHeight="1">
      <c r="A20" s="117" t="s">
        <v>380</v>
      </c>
      <c r="B20" s="118" t="s">
        <v>381</v>
      </c>
      <c r="C20" s="118" t="s">
        <v>382</v>
      </c>
      <c r="D20" s="119" t="s">
        <v>242</v>
      </c>
      <c r="E20" s="119" t="s">
        <v>248</v>
      </c>
      <c r="F20" s="117" t="s">
        <v>198</v>
      </c>
      <c r="G20" s="117" t="s">
        <v>6</v>
      </c>
      <c r="H20" s="117" t="s">
        <v>227</v>
      </c>
      <c r="I20" s="117"/>
      <c r="J20" s="117"/>
      <c r="K20" s="117"/>
      <c r="L20" s="117"/>
      <c r="M20" s="117"/>
      <c r="N20" s="117"/>
      <c r="O20" s="120" t="s">
        <v>364</v>
      </c>
    </row>
    <row r="21" spans="1:15" ht="15.75" customHeight="1">
      <c r="A21" s="114" t="s">
        <v>383</v>
      </c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6"/>
    </row>
    <row r="22" spans="1:15" ht="78.95" customHeight="1">
      <c r="A22" s="117" t="s">
        <v>384</v>
      </c>
      <c r="B22" s="118" t="s">
        <v>385</v>
      </c>
      <c r="C22" s="118" t="s">
        <v>386</v>
      </c>
      <c r="D22" s="119" t="s">
        <v>282</v>
      </c>
      <c r="E22" s="119" t="s">
        <v>248</v>
      </c>
      <c r="F22" s="117" t="s">
        <v>198</v>
      </c>
      <c r="G22" s="117" t="s">
        <v>6</v>
      </c>
      <c r="H22" s="117" t="s">
        <v>227</v>
      </c>
      <c r="I22" s="117"/>
      <c r="J22" s="117"/>
      <c r="K22" s="117"/>
      <c r="L22" s="117"/>
      <c r="M22" s="117"/>
      <c r="N22" s="117"/>
      <c r="O22" s="120" t="s">
        <v>364</v>
      </c>
    </row>
    <row r="23" spans="1:15" ht="123.95" customHeight="1">
      <c r="A23" s="117" t="s">
        <v>387</v>
      </c>
      <c r="B23" s="118" t="s">
        <v>388</v>
      </c>
      <c r="C23" s="118" t="s">
        <v>389</v>
      </c>
      <c r="D23" s="119" t="s">
        <v>242</v>
      </c>
      <c r="E23" s="119" t="s">
        <v>248</v>
      </c>
      <c r="F23" s="117" t="s">
        <v>198</v>
      </c>
      <c r="G23" s="117" t="s">
        <v>6</v>
      </c>
      <c r="H23" s="117" t="s">
        <v>227</v>
      </c>
      <c r="I23" s="117"/>
      <c r="J23" s="117"/>
      <c r="K23" s="117"/>
      <c r="L23" s="117"/>
      <c r="M23" s="117"/>
      <c r="N23" s="117"/>
      <c r="O23" s="120" t="s">
        <v>364</v>
      </c>
    </row>
    <row r="24" spans="1:15" ht="15.75" customHeight="1">
      <c r="A24" s="114" t="s">
        <v>390</v>
      </c>
      <c r="B24" s="114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6"/>
    </row>
    <row r="25" spans="1:15" ht="93.95" customHeight="1">
      <c r="A25" s="117" t="s">
        <v>391</v>
      </c>
      <c r="B25" s="118" t="s">
        <v>392</v>
      </c>
      <c r="C25" s="118" t="s">
        <v>393</v>
      </c>
      <c r="D25" s="119" t="s">
        <v>238</v>
      </c>
      <c r="E25" s="119" t="s">
        <v>394</v>
      </c>
      <c r="F25" s="117" t="s">
        <v>198</v>
      </c>
      <c r="G25" s="117" t="s">
        <v>6</v>
      </c>
      <c r="H25" s="117" t="s">
        <v>227</v>
      </c>
      <c r="I25" s="117"/>
      <c r="J25" s="117"/>
      <c r="K25" s="117"/>
      <c r="L25" s="117"/>
      <c r="M25" s="117"/>
      <c r="N25" s="117"/>
      <c r="O25" s="120" t="s">
        <v>364</v>
      </c>
    </row>
    <row r="26" spans="1:15" ht="123.95" customHeight="1">
      <c r="A26" s="117" t="s">
        <v>395</v>
      </c>
      <c r="B26" s="118" t="s">
        <v>396</v>
      </c>
      <c r="C26" s="118" t="s">
        <v>397</v>
      </c>
      <c r="D26" s="119" t="s">
        <v>242</v>
      </c>
      <c r="E26" s="119" t="s">
        <v>394</v>
      </c>
      <c r="F26" s="117" t="s">
        <v>198</v>
      </c>
      <c r="G26" s="117" t="s">
        <v>6</v>
      </c>
      <c r="H26" s="117" t="s">
        <v>227</v>
      </c>
      <c r="I26" s="117"/>
      <c r="J26" s="117"/>
      <c r="K26" s="117"/>
      <c r="L26" s="117"/>
      <c r="M26" s="117"/>
      <c r="N26" s="117"/>
      <c r="O26" s="120" t="s">
        <v>364</v>
      </c>
    </row>
    <row r="27" spans="1:15" ht="15.75" customHeight="1">
      <c r="A27" s="114" t="s">
        <v>398</v>
      </c>
      <c r="B27" s="114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6"/>
    </row>
    <row r="28" spans="1:15" ht="78.95" customHeight="1">
      <c r="A28" s="117" t="s">
        <v>399</v>
      </c>
      <c r="B28" s="118" t="s">
        <v>400</v>
      </c>
      <c r="C28" s="118" t="s">
        <v>401</v>
      </c>
      <c r="D28" s="119" t="s">
        <v>238</v>
      </c>
      <c r="E28" s="119" t="s">
        <v>394</v>
      </c>
      <c r="F28" s="117" t="s">
        <v>198</v>
      </c>
      <c r="G28" s="117" t="s">
        <v>6</v>
      </c>
      <c r="H28" s="117" t="s">
        <v>227</v>
      </c>
      <c r="I28" s="117"/>
      <c r="J28" s="117"/>
      <c r="K28" s="117"/>
      <c r="L28" s="117"/>
      <c r="M28" s="117"/>
      <c r="N28" s="117"/>
      <c r="O28" s="120" t="s">
        <v>364</v>
      </c>
    </row>
    <row r="29" spans="1:15" ht="123.95" customHeight="1">
      <c r="A29" s="117" t="s">
        <v>402</v>
      </c>
      <c r="B29" s="118" t="s">
        <v>403</v>
      </c>
      <c r="C29" s="118" t="s">
        <v>404</v>
      </c>
      <c r="D29" s="119" t="s">
        <v>242</v>
      </c>
      <c r="E29" s="119" t="s">
        <v>394</v>
      </c>
      <c r="F29" s="117" t="s">
        <v>198</v>
      </c>
      <c r="G29" s="117" t="s">
        <v>6</v>
      </c>
      <c r="H29" s="117" t="s">
        <v>227</v>
      </c>
      <c r="I29" s="117"/>
      <c r="J29" s="117"/>
      <c r="K29" s="117"/>
      <c r="L29" s="117"/>
      <c r="M29" s="117"/>
      <c r="N29" s="117"/>
      <c r="O29" s="120" t="s">
        <v>364</v>
      </c>
    </row>
    <row r="30" spans="1:15" ht="15.75" customHeight="1">
      <c r="A30" s="114" t="s">
        <v>405</v>
      </c>
      <c r="B30" s="114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6"/>
    </row>
    <row r="31" spans="1:15" ht="93.95" customHeight="1">
      <c r="A31" s="117" t="s">
        <v>406</v>
      </c>
      <c r="B31" s="118" t="s">
        <v>407</v>
      </c>
      <c r="C31" s="118" t="s">
        <v>408</v>
      </c>
      <c r="D31" s="119" t="s">
        <v>238</v>
      </c>
      <c r="E31" s="119" t="s">
        <v>394</v>
      </c>
      <c r="F31" s="117" t="s">
        <v>198</v>
      </c>
      <c r="G31" s="117" t="s">
        <v>6</v>
      </c>
      <c r="H31" s="117" t="s">
        <v>227</v>
      </c>
      <c r="I31" s="117"/>
      <c r="J31" s="117"/>
      <c r="K31" s="117"/>
      <c r="L31" s="117"/>
      <c r="M31" s="117"/>
      <c r="N31" s="117"/>
      <c r="O31" s="120" t="s">
        <v>364</v>
      </c>
    </row>
    <row r="32" spans="1:15" ht="123.95" customHeight="1">
      <c r="A32" s="117" t="s">
        <v>409</v>
      </c>
      <c r="B32" s="118" t="s">
        <v>410</v>
      </c>
      <c r="C32" s="118" t="s">
        <v>411</v>
      </c>
      <c r="D32" s="119" t="s">
        <v>242</v>
      </c>
      <c r="E32" s="119" t="s">
        <v>394</v>
      </c>
      <c r="F32" s="117" t="s">
        <v>198</v>
      </c>
      <c r="G32" s="117" t="s">
        <v>6</v>
      </c>
      <c r="H32" s="117" t="s">
        <v>227</v>
      </c>
      <c r="I32" s="117"/>
      <c r="J32" s="117"/>
      <c r="K32" s="117"/>
      <c r="L32" s="117"/>
      <c r="M32" s="117"/>
      <c r="N32" s="117"/>
      <c r="O32" s="120" t="s">
        <v>364</v>
      </c>
    </row>
    <row r="33" spans="1:15" ht="15.75" customHeight="1">
      <c r="A33" s="114" t="s">
        <v>412</v>
      </c>
      <c r="B33" s="114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6"/>
    </row>
    <row r="34" spans="1:15" ht="78.95" customHeight="1">
      <c r="A34" s="117" t="s">
        <v>413</v>
      </c>
      <c r="B34" s="118" t="s">
        <v>414</v>
      </c>
      <c r="C34" s="118" t="s">
        <v>415</v>
      </c>
      <c r="D34" s="119" t="s">
        <v>225</v>
      </c>
      <c r="E34" s="119" t="s">
        <v>394</v>
      </c>
      <c r="F34" s="117" t="s">
        <v>198</v>
      </c>
      <c r="G34" s="117" t="s">
        <v>6</v>
      </c>
      <c r="H34" s="117" t="s">
        <v>227</v>
      </c>
      <c r="I34" s="117"/>
      <c r="J34" s="117"/>
      <c r="K34" s="117"/>
      <c r="L34" s="117"/>
      <c r="M34" s="117"/>
      <c r="N34" s="117"/>
      <c r="O34" s="120" t="s">
        <v>364</v>
      </c>
    </row>
    <row r="35" spans="1:15" ht="15.75" customHeight="1">
      <c r="A35" s="114" t="s">
        <v>416</v>
      </c>
      <c r="B35" s="114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6"/>
    </row>
    <row r="36" spans="1:15" ht="78.95" customHeight="1">
      <c r="A36" s="117" t="s">
        <v>417</v>
      </c>
      <c r="B36" s="118" t="s">
        <v>418</v>
      </c>
      <c r="C36" s="118" t="s">
        <v>419</v>
      </c>
      <c r="D36" s="119" t="s">
        <v>225</v>
      </c>
      <c r="E36" s="119" t="s">
        <v>394</v>
      </c>
      <c r="F36" s="117" t="s">
        <v>198</v>
      </c>
      <c r="G36" s="117" t="s">
        <v>6</v>
      </c>
      <c r="H36" s="117" t="s">
        <v>227</v>
      </c>
      <c r="I36" s="117"/>
      <c r="J36" s="117"/>
      <c r="K36" s="117"/>
      <c r="L36" s="117"/>
      <c r="M36" s="117"/>
      <c r="N36" s="117"/>
      <c r="O36" s="120" t="s">
        <v>364</v>
      </c>
    </row>
    <row r="37" spans="1:15" ht="15.75" customHeight="1">
      <c r="A37" s="114" t="s">
        <v>420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6"/>
    </row>
    <row r="38" spans="1:15" ht="78.95" customHeight="1">
      <c r="A38" s="117" t="s">
        <v>421</v>
      </c>
      <c r="B38" s="118" t="s">
        <v>422</v>
      </c>
      <c r="C38" s="118" t="s">
        <v>423</v>
      </c>
      <c r="D38" s="119" t="s">
        <v>238</v>
      </c>
      <c r="E38" s="119" t="s">
        <v>394</v>
      </c>
      <c r="F38" s="117" t="s">
        <v>198</v>
      </c>
      <c r="G38" s="117" t="s">
        <v>6</v>
      </c>
      <c r="H38" s="117" t="s">
        <v>227</v>
      </c>
      <c r="I38" s="117"/>
      <c r="J38" s="117"/>
      <c r="K38" s="117"/>
      <c r="L38" s="117"/>
      <c r="M38" s="117"/>
      <c r="N38" s="117"/>
      <c r="O38" s="120" t="s">
        <v>364</v>
      </c>
    </row>
    <row r="39" spans="1:15" ht="108.95" customHeight="1">
      <c r="A39" s="117" t="s">
        <v>424</v>
      </c>
      <c r="B39" s="118" t="s">
        <v>425</v>
      </c>
      <c r="C39" s="118" t="s">
        <v>426</v>
      </c>
      <c r="D39" s="119" t="s">
        <v>242</v>
      </c>
      <c r="E39" s="119" t="s">
        <v>394</v>
      </c>
      <c r="F39" s="117" t="s">
        <v>198</v>
      </c>
      <c r="G39" s="117" t="s">
        <v>6</v>
      </c>
      <c r="H39" s="117" t="s">
        <v>227</v>
      </c>
      <c r="I39" s="117"/>
      <c r="J39" s="117"/>
      <c r="K39" s="117"/>
      <c r="L39" s="117"/>
      <c r="M39" s="117"/>
      <c r="N39" s="117"/>
      <c r="O39" s="120" t="s">
        <v>364</v>
      </c>
    </row>
    <row r="40" spans="1:15" ht="15.75" customHeight="1">
      <c r="A40" s="114" t="s">
        <v>293</v>
      </c>
      <c r="B40" s="114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1" spans="1:15" ht="78.95" customHeight="1">
      <c r="A41" s="117" t="s">
        <v>427</v>
      </c>
      <c r="B41" s="118" t="s">
        <v>295</v>
      </c>
      <c r="C41" s="118" t="s">
        <v>428</v>
      </c>
      <c r="D41" s="119" t="s">
        <v>297</v>
      </c>
      <c r="E41" s="119" t="s">
        <v>298</v>
      </c>
      <c r="F41" s="117" t="s">
        <v>198</v>
      </c>
      <c r="G41" s="117" t="s">
        <v>6</v>
      </c>
      <c r="H41" s="117" t="s">
        <v>227</v>
      </c>
      <c r="I41" s="117"/>
      <c r="J41" s="117"/>
      <c r="K41" s="117"/>
      <c r="L41" s="117"/>
      <c r="M41" s="117"/>
      <c r="N41" s="117"/>
      <c r="O41" s="120" t="s">
        <v>364</v>
      </c>
    </row>
    <row r="42" spans="1:15" ht="63.95" customHeight="1">
      <c r="A42" s="117" t="s">
        <v>429</v>
      </c>
      <c r="B42" s="118" t="s">
        <v>300</v>
      </c>
      <c r="C42" s="118" t="s">
        <v>301</v>
      </c>
      <c r="D42" s="119" t="s">
        <v>302</v>
      </c>
      <c r="E42" s="119" t="s">
        <v>303</v>
      </c>
      <c r="F42" s="117" t="s">
        <v>198</v>
      </c>
      <c r="G42" s="117" t="s">
        <v>6</v>
      </c>
      <c r="H42" s="117" t="s">
        <v>227</v>
      </c>
      <c r="I42" s="117"/>
      <c r="J42" s="117"/>
      <c r="K42" s="117"/>
      <c r="L42" s="117"/>
      <c r="M42" s="117"/>
      <c r="N42" s="117"/>
      <c r="O42" s="120" t="s">
        <v>364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05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20"/>
  <sheetViews>
    <sheetView topLeftCell="A14" workbookViewId="0">
      <selection activeCell="G17" sqref="G17"/>
    </sheetView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38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40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6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0</v>
      </c>
      <c r="C6" s="60">
        <f>COUNTIF($F$11:$F$2000,C$5)</f>
        <v>4</v>
      </c>
      <c r="D6" s="60">
        <f>COUNTIF($F$11:$F$2000,D$5)</f>
        <v>0</v>
      </c>
      <c r="E6" s="66">
        <f>COUNTIF($F$11:$F$2000,E$5)</f>
        <v>2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430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431</v>
      </c>
      <c r="B12" s="118" t="s">
        <v>432</v>
      </c>
      <c r="C12" s="118" t="s">
        <v>433</v>
      </c>
      <c r="D12" s="119" t="s">
        <v>238</v>
      </c>
      <c r="E12" s="119" t="s">
        <v>394</v>
      </c>
      <c r="F12" s="117" t="s">
        <v>198</v>
      </c>
      <c r="G12" s="117" t="s">
        <v>6</v>
      </c>
      <c r="H12" s="117" t="s">
        <v>227</v>
      </c>
      <c r="I12" s="117"/>
      <c r="J12" s="117"/>
      <c r="K12" s="117"/>
      <c r="L12" s="117"/>
      <c r="M12" s="117"/>
      <c r="N12" s="117"/>
      <c r="O12" s="120" t="s">
        <v>434</v>
      </c>
    </row>
    <row r="13" spans="1:18" ht="108.95" customHeight="1" outlineLevel="1">
      <c r="A13" s="117" t="s">
        <v>435</v>
      </c>
      <c r="B13" s="118" t="s">
        <v>436</v>
      </c>
      <c r="C13" s="118" t="s">
        <v>437</v>
      </c>
      <c r="D13" s="119" t="s">
        <v>242</v>
      </c>
      <c r="E13" s="119" t="s">
        <v>394</v>
      </c>
      <c r="F13" s="117" t="s">
        <v>198</v>
      </c>
      <c r="G13" s="117" t="s">
        <v>6</v>
      </c>
      <c r="H13" s="117" t="s">
        <v>227</v>
      </c>
      <c r="I13" s="117"/>
      <c r="J13" s="117"/>
      <c r="K13" s="117"/>
      <c r="L13" s="117"/>
      <c r="M13" s="117"/>
      <c r="N13" s="117"/>
      <c r="O13" s="120" t="s">
        <v>434</v>
      </c>
    </row>
    <row r="14" spans="1:18" ht="15.75" customHeight="1" outlineLevel="1">
      <c r="A14" s="114" t="s">
        <v>438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78.95" customHeight="1">
      <c r="A15" s="117" t="s">
        <v>439</v>
      </c>
      <c r="B15" s="118" t="s">
        <v>440</v>
      </c>
      <c r="C15" s="118" t="s">
        <v>441</v>
      </c>
      <c r="D15" s="119" t="s">
        <v>225</v>
      </c>
      <c r="E15" s="119" t="s">
        <v>394</v>
      </c>
      <c r="F15" s="117" t="s">
        <v>198</v>
      </c>
      <c r="G15" s="117" t="s">
        <v>6</v>
      </c>
      <c r="H15" s="117" t="s">
        <v>227</v>
      </c>
      <c r="I15" s="117"/>
      <c r="J15" s="117"/>
      <c r="K15" s="117"/>
      <c r="L15" s="117"/>
      <c r="M15" s="117"/>
      <c r="N15" s="117"/>
      <c r="O15" s="120" t="s">
        <v>434</v>
      </c>
    </row>
    <row r="16" spans="1:18" ht="15.75" customHeight="1" outlineLevel="1">
      <c r="A16" s="114" t="s">
        <v>442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78.95" customHeight="1" outlineLevel="1">
      <c r="A17" s="117" t="s">
        <v>443</v>
      </c>
      <c r="B17" s="118" t="s">
        <v>444</v>
      </c>
      <c r="C17" s="118" t="s">
        <v>445</v>
      </c>
      <c r="D17" s="119" t="s">
        <v>225</v>
      </c>
      <c r="E17" s="119" t="s">
        <v>233</v>
      </c>
      <c r="F17" s="117" t="s">
        <v>198</v>
      </c>
      <c r="G17" s="117" t="s">
        <v>6</v>
      </c>
      <c r="H17" s="117" t="s">
        <v>227</v>
      </c>
      <c r="I17" s="117"/>
      <c r="J17" s="117"/>
      <c r="K17" s="117"/>
      <c r="L17" s="117"/>
      <c r="M17" s="117"/>
      <c r="N17" s="117"/>
      <c r="O17" s="120" t="s">
        <v>434</v>
      </c>
    </row>
    <row r="18" spans="1:15" s="21" customFormat="1" ht="15.75" customHeight="1">
      <c r="A18" s="114" t="s">
        <v>293</v>
      </c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</row>
    <row r="19" spans="1:15" ht="78.95" customHeight="1" outlineLevel="1">
      <c r="A19" s="117" t="s">
        <v>446</v>
      </c>
      <c r="B19" s="118" t="s">
        <v>295</v>
      </c>
      <c r="C19" s="118" t="s">
        <v>447</v>
      </c>
      <c r="D19" s="119" t="s">
        <v>297</v>
      </c>
      <c r="E19" s="119" t="s">
        <v>298</v>
      </c>
      <c r="F19" s="117" t="s">
        <v>200</v>
      </c>
      <c r="G19" s="117"/>
      <c r="H19" s="117" t="s">
        <v>227</v>
      </c>
      <c r="I19" s="117"/>
      <c r="J19" s="117"/>
      <c r="K19" s="117"/>
      <c r="L19" s="117"/>
      <c r="M19" s="117"/>
      <c r="N19" s="117"/>
      <c r="O19" s="120" t="s">
        <v>448</v>
      </c>
    </row>
    <row r="20" spans="1:15" ht="63.95" customHeight="1">
      <c r="A20" s="117" t="s">
        <v>449</v>
      </c>
      <c r="B20" s="118" t="s">
        <v>300</v>
      </c>
      <c r="C20" s="118" t="s">
        <v>301</v>
      </c>
      <c r="D20" s="119" t="s">
        <v>302</v>
      </c>
      <c r="E20" s="119" t="s">
        <v>303</v>
      </c>
      <c r="F20" s="117" t="s">
        <v>200</v>
      </c>
      <c r="G20" s="117"/>
      <c r="H20" s="117" t="s">
        <v>227</v>
      </c>
      <c r="I20" s="117"/>
      <c r="J20" s="117"/>
      <c r="K20" s="117"/>
      <c r="L20" s="117"/>
      <c r="M20" s="117"/>
      <c r="N20" s="117"/>
      <c r="O20" s="120" t="s">
        <v>448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06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R47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41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43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23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23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450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63.95" customHeight="1" outlineLevel="1">
      <c r="A12" s="117" t="s">
        <v>451</v>
      </c>
      <c r="B12" s="118" t="s">
        <v>452</v>
      </c>
      <c r="C12" s="118" t="s">
        <v>453</v>
      </c>
      <c r="D12" s="119" t="s">
        <v>225</v>
      </c>
      <c r="E12" s="119" t="s">
        <v>226</v>
      </c>
      <c r="F12" s="117" t="s">
        <v>197</v>
      </c>
      <c r="G12" s="117" t="s">
        <v>308</v>
      </c>
      <c r="H12" s="117" t="s">
        <v>227</v>
      </c>
      <c r="I12" s="117"/>
      <c r="J12" s="117"/>
      <c r="K12" s="117"/>
      <c r="L12" s="117"/>
      <c r="M12" s="117"/>
      <c r="N12" s="117"/>
      <c r="O12" s="120" t="s">
        <v>454</v>
      </c>
    </row>
    <row r="13" spans="1:18" ht="15.75" customHeight="1" outlineLevel="1">
      <c r="A13" s="114" t="s">
        <v>455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78.95" customHeight="1" outlineLevel="1">
      <c r="A14" s="117" t="s">
        <v>456</v>
      </c>
      <c r="B14" s="118" t="s">
        <v>457</v>
      </c>
      <c r="C14" s="118" t="s">
        <v>458</v>
      </c>
      <c r="D14" s="119" t="s">
        <v>238</v>
      </c>
      <c r="E14" s="119" t="s">
        <v>226</v>
      </c>
      <c r="F14" s="117" t="s">
        <v>197</v>
      </c>
      <c r="G14" s="117" t="s">
        <v>308</v>
      </c>
      <c r="H14" s="117" t="s">
        <v>227</v>
      </c>
      <c r="I14" s="117"/>
      <c r="J14" s="117"/>
      <c r="K14" s="117"/>
      <c r="L14" s="117"/>
      <c r="M14" s="117"/>
      <c r="N14" s="117"/>
      <c r="O14" s="120" t="s">
        <v>454</v>
      </c>
    </row>
    <row r="15" spans="1:18" s="21" customFormat="1" ht="108.95" customHeight="1">
      <c r="A15" s="117" t="s">
        <v>459</v>
      </c>
      <c r="B15" s="118" t="s">
        <v>460</v>
      </c>
      <c r="C15" s="118" t="s">
        <v>461</v>
      </c>
      <c r="D15" s="119" t="s">
        <v>242</v>
      </c>
      <c r="E15" s="119" t="s">
        <v>226</v>
      </c>
      <c r="F15" s="117" t="s">
        <v>197</v>
      </c>
      <c r="G15" s="117" t="s">
        <v>308</v>
      </c>
      <c r="H15" s="117" t="s">
        <v>227</v>
      </c>
      <c r="I15" s="117"/>
      <c r="J15" s="117"/>
      <c r="K15" s="117"/>
      <c r="L15" s="117"/>
      <c r="M15" s="117"/>
      <c r="N15" s="117"/>
      <c r="O15" s="120" t="s">
        <v>454</v>
      </c>
    </row>
    <row r="16" spans="1:18" ht="15.75" customHeight="1" outlineLevel="1">
      <c r="A16" s="114" t="s">
        <v>462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78.95" customHeight="1" outlineLevel="1">
      <c r="A17" s="117" t="s">
        <v>463</v>
      </c>
      <c r="B17" s="118" t="s">
        <v>464</v>
      </c>
      <c r="C17" s="118" t="s">
        <v>465</v>
      </c>
      <c r="D17" s="119" t="s">
        <v>247</v>
      </c>
      <c r="E17" s="119" t="s">
        <v>248</v>
      </c>
      <c r="F17" s="117" t="s">
        <v>197</v>
      </c>
      <c r="G17" s="117" t="s">
        <v>308</v>
      </c>
      <c r="H17" s="117" t="s">
        <v>227</v>
      </c>
      <c r="I17" s="117"/>
      <c r="J17" s="117"/>
      <c r="K17" s="117"/>
      <c r="L17" s="117"/>
      <c r="M17" s="117"/>
      <c r="N17" s="117"/>
      <c r="O17" s="120" t="s">
        <v>454</v>
      </c>
    </row>
    <row r="18" spans="1:15" s="21" customFormat="1" ht="123.95" customHeight="1">
      <c r="A18" s="117" t="s">
        <v>466</v>
      </c>
      <c r="B18" s="118" t="s">
        <v>467</v>
      </c>
      <c r="C18" s="118" t="s">
        <v>468</v>
      </c>
      <c r="D18" s="119" t="s">
        <v>242</v>
      </c>
      <c r="E18" s="119" t="s">
        <v>248</v>
      </c>
      <c r="F18" s="117" t="s">
        <v>197</v>
      </c>
      <c r="G18" s="117" t="s">
        <v>308</v>
      </c>
      <c r="H18" s="117" t="s">
        <v>227</v>
      </c>
      <c r="I18" s="117"/>
      <c r="J18" s="117"/>
      <c r="K18" s="117"/>
      <c r="L18" s="117"/>
      <c r="M18" s="117"/>
      <c r="N18" s="117"/>
      <c r="O18" s="120" t="s">
        <v>454</v>
      </c>
    </row>
    <row r="19" spans="1:15" ht="15.75" customHeight="1" outlineLevel="1">
      <c r="A19" s="114" t="s">
        <v>469</v>
      </c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6"/>
    </row>
    <row r="20" spans="1:15" ht="78.95" customHeight="1">
      <c r="A20" s="117" t="s">
        <v>470</v>
      </c>
      <c r="B20" s="118" t="s">
        <v>471</v>
      </c>
      <c r="C20" s="118" t="s">
        <v>472</v>
      </c>
      <c r="D20" s="119" t="s">
        <v>225</v>
      </c>
      <c r="E20" s="119" t="s">
        <v>248</v>
      </c>
      <c r="F20" s="117" t="s">
        <v>197</v>
      </c>
      <c r="G20" s="117" t="s">
        <v>308</v>
      </c>
      <c r="H20" s="117" t="s">
        <v>227</v>
      </c>
      <c r="I20" s="117"/>
      <c r="J20" s="117"/>
      <c r="K20" s="117"/>
      <c r="L20" s="117"/>
      <c r="M20" s="117"/>
      <c r="N20" s="117"/>
      <c r="O20" s="120" t="s">
        <v>454</v>
      </c>
    </row>
    <row r="21" spans="1:15" ht="15.75" customHeight="1">
      <c r="A21" s="114" t="s">
        <v>473</v>
      </c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6"/>
    </row>
    <row r="22" spans="1:15" ht="78.95" customHeight="1">
      <c r="A22" s="117" t="s">
        <v>474</v>
      </c>
      <c r="B22" s="118" t="s">
        <v>475</v>
      </c>
      <c r="C22" s="118" t="s">
        <v>476</v>
      </c>
      <c r="D22" s="119" t="s">
        <v>260</v>
      </c>
      <c r="E22" s="119" t="s">
        <v>248</v>
      </c>
      <c r="F22" s="117" t="s">
        <v>197</v>
      </c>
      <c r="G22" s="117" t="s">
        <v>308</v>
      </c>
      <c r="H22" s="117" t="s">
        <v>227</v>
      </c>
      <c r="I22" s="117"/>
      <c r="J22" s="117"/>
      <c r="K22" s="117"/>
      <c r="L22" s="117"/>
      <c r="M22" s="117"/>
      <c r="N22" s="117"/>
      <c r="O22" s="120" t="s">
        <v>454</v>
      </c>
    </row>
    <row r="23" spans="1:15" ht="108.95" customHeight="1">
      <c r="A23" s="117" t="s">
        <v>477</v>
      </c>
      <c r="B23" s="118" t="s">
        <v>478</v>
      </c>
      <c r="C23" s="118" t="s">
        <v>479</v>
      </c>
      <c r="D23" s="119" t="s">
        <v>242</v>
      </c>
      <c r="E23" s="119" t="s">
        <v>248</v>
      </c>
      <c r="F23" s="117" t="s">
        <v>197</v>
      </c>
      <c r="G23" s="117" t="s">
        <v>308</v>
      </c>
      <c r="H23" s="117" t="s">
        <v>227</v>
      </c>
      <c r="I23" s="117"/>
      <c r="J23" s="117"/>
      <c r="K23" s="117"/>
      <c r="L23" s="117"/>
      <c r="M23" s="117"/>
      <c r="N23" s="117"/>
      <c r="O23" s="120" t="s">
        <v>454</v>
      </c>
    </row>
    <row r="24" spans="1:15" ht="15.75" customHeight="1">
      <c r="A24" s="114" t="s">
        <v>480</v>
      </c>
      <c r="B24" s="114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6"/>
    </row>
    <row r="25" spans="1:15" ht="78.95" customHeight="1">
      <c r="A25" s="117" t="s">
        <v>481</v>
      </c>
      <c r="B25" s="118" t="s">
        <v>482</v>
      </c>
      <c r="C25" s="118" t="s">
        <v>483</v>
      </c>
      <c r="D25" s="119" t="s">
        <v>225</v>
      </c>
      <c r="E25" s="119" t="s">
        <v>248</v>
      </c>
      <c r="F25" s="117" t="s">
        <v>197</v>
      </c>
      <c r="G25" s="117" t="s">
        <v>308</v>
      </c>
      <c r="H25" s="117" t="s">
        <v>227</v>
      </c>
      <c r="I25" s="117"/>
      <c r="J25" s="117"/>
      <c r="K25" s="117"/>
      <c r="L25" s="117"/>
      <c r="M25" s="117"/>
      <c r="N25" s="117"/>
      <c r="O25" s="120" t="s">
        <v>454</v>
      </c>
    </row>
    <row r="26" spans="1:15" ht="15.75" customHeight="1">
      <c r="A26" s="114" t="s">
        <v>484</v>
      </c>
      <c r="B26" s="114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</row>
    <row r="27" spans="1:15" ht="78.95" customHeight="1">
      <c r="A27" s="117" t="s">
        <v>485</v>
      </c>
      <c r="B27" s="118" t="s">
        <v>486</v>
      </c>
      <c r="C27" s="118" t="s">
        <v>487</v>
      </c>
      <c r="D27" s="119" t="s">
        <v>238</v>
      </c>
      <c r="E27" s="119" t="s">
        <v>248</v>
      </c>
      <c r="F27" s="117" t="s">
        <v>197</v>
      </c>
      <c r="G27" s="117" t="s">
        <v>308</v>
      </c>
      <c r="H27" s="117" t="s">
        <v>227</v>
      </c>
      <c r="I27" s="117"/>
      <c r="J27" s="117"/>
      <c r="K27" s="117"/>
      <c r="L27" s="117"/>
      <c r="M27" s="117"/>
      <c r="N27" s="117"/>
      <c r="O27" s="120" t="s">
        <v>454</v>
      </c>
    </row>
    <row r="28" spans="1:15" ht="123.95" customHeight="1">
      <c r="A28" s="117" t="s">
        <v>488</v>
      </c>
      <c r="B28" s="118" t="s">
        <v>489</v>
      </c>
      <c r="C28" s="118" t="s">
        <v>490</v>
      </c>
      <c r="D28" s="119" t="s">
        <v>242</v>
      </c>
      <c r="E28" s="119" t="s">
        <v>248</v>
      </c>
      <c r="F28" s="117" t="s">
        <v>197</v>
      </c>
      <c r="G28" s="117" t="s">
        <v>308</v>
      </c>
      <c r="H28" s="117" t="s">
        <v>227</v>
      </c>
      <c r="I28" s="117"/>
      <c r="J28" s="117"/>
      <c r="K28" s="117"/>
      <c r="L28" s="117"/>
      <c r="M28" s="117"/>
      <c r="N28" s="117"/>
      <c r="O28" s="120" t="s">
        <v>454</v>
      </c>
    </row>
    <row r="29" spans="1:15" ht="15.75" customHeight="1">
      <c r="A29" s="114" t="s">
        <v>491</v>
      </c>
      <c r="B29" s="114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6"/>
    </row>
    <row r="30" spans="1:15" ht="78.95" customHeight="1">
      <c r="A30" s="117" t="s">
        <v>492</v>
      </c>
      <c r="B30" s="118" t="s">
        <v>493</v>
      </c>
      <c r="C30" s="118" t="s">
        <v>494</v>
      </c>
      <c r="D30" s="119" t="s">
        <v>282</v>
      </c>
      <c r="E30" s="119" t="s">
        <v>248</v>
      </c>
      <c r="F30" s="117" t="s">
        <v>197</v>
      </c>
      <c r="G30" s="117" t="s">
        <v>308</v>
      </c>
      <c r="H30" s="117" t="s">
        <v>227</v>
      </c>
      <c r="I30" s="117"/>
      <c r="J30" s="117"/>
      <c r="K30" s="117"/>
      <c r="L30" s="117"/>
      <c r="M30" s="117"/>
      <c r="N30" s="117"/>
      <c r="O30" s="120" t="s">
        <v>454</v>
      </c>
    </row>
    <row r="31" spans="1:15" ht="123.95" customHeight="1">
      <c r="A31" s="117" t="s">
        <v>495</v>
      </c>
      <c r="B31" s="118" t="s">
        <v>496</v>
      </c>
      <c r="C31" s="118" t="s">
        <v>497</v>
      </c>
      <c r="D31" s="119" t="s">
        <v>242</v>
      </c>
      <c r="E31" s="119" t="s">
        <v>248</v>
      </c>
      <c r="F31" s="117" t="s">
        <v>197</v>
      </c>
      <c r="G31" s="117" t="s">
        <v>308</v>
      </c>
      <c r="H31" s="117" t="s">
        <v>227</v>
      </c>
      <c r="I31" s="117"/>
      <c r="J31" s="117"/>
      <c r="K31" s="117"/>
      <c r="L31" s="117"/>
      <c r="M31" s="117"/>
      <c r="N31" s="117"/>
      <c r="O31" s="120" t="s">
        <v>454</v>
      </c>
    </row>
    <row r="32" spans="1:15" ht="15.75" customHeight="1">
      <c r="A32" s="114" t="s">
        <v>498</v>
      </c>
      <c r="B32" s="114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6"/>
    </row>
    <row r="33" spans="1:15" ht="93.95" customHeight="1">
      <c r="A33" s="117" t="s">
        <v>499</v>
      </c>
      <c r="B33" s="118" t="s">
        <v>500</v>
      </c>
      <c r="C33" s="118" t="s">
        <v>501</v>
      </c>
      <c r="D33" s="119" t="s">
        <v>238</v>
      </c>
      <c r="E33" s="119" t="s">
        <v>248</v>
      </c>
      <c r="F33" s="117" t="s">
        <v>197</v>
      </c>
      <c r="G33" s="117" t="s">
        <v>308</v>
      </c>
      <c r="H33" s="117" t="s">
        <v>227</v>
      </c>
      <c r="I33" s="117"/>
      <c r="J33" s="117"/>
      <c r="K33" s="117"/>
      <c r="L33" s="117"/>
      <c r="M33" s="117"/>
      <c r="N33" s="117"/>
      <c r="O33" s="120" t="s">
        <v>454</v>
      </c>
    </row>
    <row r="34" spans="1:15" ht="123.95" customHeight="1">
      <c r="A34" s="117" t="s">
        <v>502</v>
      </c>
      <c r="B34" s="118" t="s">
        <v>503</v>
      </c>
      <c r="C34" s="118" t="s">
        <v>504</v>
      </c>
      <c r="D34" s="119" t="s">
        <v>242</v>
      </c>
      <c r="E34" s="119" t="s">
        <v>248</v>
      </c>
      <c r="F34" s="117" t="s">
        <v>197</v>
      </c>
      <c r="G34" s="117" t="s">
        <v>308</v>
      </c>
      <c r="H34" s="117" t="s">
        <v>227</v>
      </c>
      <c r="I34" s="117"/>
      <c r="J34" s="117"/>
      <c r="K34" s="117"/>
      <c r="L34" s="117"/>
      <c r="M34" s="117"/>
      <c r="N34" s="117"/>
      <c r="O34" s="120" t="s">
        <v>454</v>
      </c>
    </row>
    <row r="35" spans="1:15" ht="15.75" customHeight="1">
      <c r="A35" s="114" t="s">
        <v>505</v>
      </c>
      <c r="B35" s="114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6"/>
    </row>
    <row r="36" spans="1:15" ht="93.95" customHeight="1">
      <c r="A36" s="117" t="s">
        <v>506</v>
      </c>
      <c r="B36" s="118" t="s">
        <v>507</v>
      </c>
      <c r="C36" s="118" t="s">
        <v>508</v>
      </c>
      <c r="D36" s="119" t="s">
        <v>238</v>
      </c>
      <c r="E36" s="119" t="s">
        <v>394</v>
      </c>
      <c r="F36" s="117" t="s">
        <v>197</v>
      </c>
      <c r="G36" s="117" t="s">
        <v>308</v>
      </c>
      <c r="H36" s="117" t="s">
        <v>227</v>
      </c>
      <c r="I36" s="117"/>
      <c r="J36" s="117"/>
      <c r="K36" s="117"/>
      <c r="L36" s="117"/>
      <c r="M36" s="117"/>
      <c r="N36" s="117"/>
      <c r="O36" s="120" t="s">
        <v>454</v>
      </c>
    </row>
    <row r="37" spans="1:15" ht="123.95" customHeight="1">
      <c r="A37" s="117" t="s">
        <v>509</v>
      </c>
      <c r="B37" s="118" t="s">
        <v>510</v>
      </c>
      <c r="C37" s="118" t="s">
        <v>511</v>
      </c>
      <c r="D37" s="119" t="s">
        <v>242</v>
      </c>
      <c r="E37" s="119" t="s">
        <v>394</v>
      </c>
      <c r="F37" s="117" t="s">
        <v>197</v>
      </c>
      <c r="G37" s="117" t="s">
        <v>308</v>
      </c>
      <c r="H37" s="117" t="s">
        <v>227</v>
      </c>
      <c r="I37" s="117"/>
      <c r="J37" s="117"/>
      <c r="K37" s="117"/>
      <c r="L37" s="117"/>
      <c r="M37" s="117"/>
      <c r="N37" s="117"/>
      <c r="O37" s="120" t="s">
        <v>454</v>
      </c>
    </row>
    <row r="38" spans="1:15" ht="15.75" customHeight="1">
      <c r="A38" s="114" t="s">
        <v>512</v>
      </c>
      <c r="B38" s="114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6"/>
    </row>
    <row r="39" spans="1:15" ht="78.95" customHeight="1">
      <c r="A39" s="117" t="s">
        <v>513</v>
      </c>
      <c r="B39" s="118" t="s">
        <v>514</v>
      </c>
      <c r="C39" s="118" t="s">
        <v>515</v>
      </c>
      <c r="D39" s="119" t="s">
        <v>225</v>
      </c>
      <c r="E39" s="119" t="s">
        <v>233</v>
      </c>
      <c r="F39" s="117" t="s">
        <v>197</v>
      </c>
      <c r="G39" s="117" t="s">
        <v>308</v>
      </c>
      <c r="H39" s="117" t="s">
        <v>227</v>
      </c>
      <c r="I39" s="117"/>
      <c r="J39" s="117"/>
      <c r="K39" s="117"/>
      <c r="L39" s="117"/>
      <c r="M39" s="117"/>
      <c r="N39" s="117"/>
      <c r="O39" s="120" t="s">
        <v>454</v>
      </c>
    </row>
    <row r="40" spans="1:15" ht="15.75" customHeight="1">
      <c r="A40" s="114" t="s">
        <v>516</v>
      </c>
      <c r="B40" s="114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1" spans="1:15" ht="78.95" customHeight="1">
      <c r="A41" s="117" t="s">
        <v>517</v>
      </c>
      <c r="B41" s="118" t="s">
        <v>518</v>
      </c>
      <c r="C41" s="118" t="s">
        <v>519</v>
      </c>
      <c r="D41" s="119" t="s">
        <v>225</v>
      </c>
      <c r="E41" s="119" t="s">
        <v>233</v>
      </c>
      <c r="F41" s="117" t="s">
        <v>197</v>
      </c>
      <c r="G41" s="117" t="s">
        <v>308</v>
      </c>
      <c r="H41" s="117" t="s">
        <v>227</v>
      </c>
      <c r="I41" s="117"/>
      <c r="J41" s="117"/>
      <c r="K41" s="117"/>
      <c r="L41" s="117"/>
      <c r="M41" s="117"/>
      <c r="N41" s="117"/>
      <c r="O41" s="120" t="s">
        <v>454</v>
      </c>
    </row>
    <row r="42" spans="1:15" ht="15.75" customHeight="1">
      <c r="A42" s="114" t="s">
        <v>520</v>
      </c>
      <c r="B42" s="114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6"/>
    </row>
    <row r="43" spans="1:15" ht="93.95" customHeight="1">
      <c r="A43" s="117" t="s">
        <v>521</v>
      </c>
      <c r="B43" s="118" t="s">
        <v>522</v>
      </c>
      <c r="C43" s="118" t="s">
        <v>523</v>
      </c>
      <c r="D43" s="119" t="s">
        <v>238</v>
      </c>
      <c r="E43" s="119" t="s">
        <v>233</v>
      </c>
      <c r="F43" s="117" t="s">
        <v>197</v>
      </c>
      <c r="G43" s="117" t="s">
        <v>308</v>
      </c>
      <c r="H43" s="117" t="s">
        <v>227</v>
      </c>
      <c r="I43" s="117"/>
      <c r="J43" s="117"/>
      <c r="K43" s="117"/>
      <c r="L43" s="117"/>
      <c r="M43" s="117"/>
      <c r="N43" s="117"/>
      <c r="O43" s="120" t="s">
        <v>454</v>
      </c>
    </row>
    <row r="44" spans="1:15" ht="123.95" customHeight="1">
      <c r="A44" s="117" t="s">
        <v>524</v>
      </c>
      <c r="B44" s="118" t="s">
        <v>525</v>
      </c>
      <c r="C44" s="118" t="s">
        <v>526</v>
      </c>
      <c r="D44" s="119" t="s">
        <v>242</v>
      </c>
      <c r="E44" s="119" t="s">
        <v>233</v>
      </c>
      <c r="F44" s="117" t="s">
        <v>197</v>
      </c>
      <c r="G44" s="117" t="s">
        <v>308</v>
      </c>
      <c r="H44" s="117" t="s">
        <v>227</v>
      </c>
      <c r="I44" s="117"/>
      <c r="J44" s="117"/>
      <c r="K44" s="117"/>
      <c r="L44" s="117"/>
      <c r="M44" s="117"/>
      <c r="N44" s="117"/>
      <c r="O44" s="120" t="s">
        <v>454</v>
      </c>
    </row>
    <row r="45" spans="1:15" ht="15.75" customHeight="1">
      <c r="A45" s="114" t="s">
        <v>293</v>
      </c>
      <c r="B45" s="114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6"/>
    </row>
    <row r="46" spans="1:15" ht="78.95" customHeight="1">
      <c r="A46" s="117" t="s">
        <v>527</v>
      </c>
      <c r="B46" s="118" t="s">
        <v>295</v>
      </c>
      <c r="C46" s="118" t="s">
        <v>528</v>
      </c>
      <c r="D46" s="119" t="s">
        <v>297</v>
      </c>
      <c r="E46" s="119" t="s">
        <v>298</v>
      </c>
      <c r="F46" s="117" t="s">
        <v>197</v>
      </c>
      <c r="G46" s="117" t="s">
        <v>308</v>
      </c>
      <c r="H46" s="117" t="s">
        <v>227</v>
      </c>
      <c r="I46" s="117"/>
      <c r="J46" s="117"/>
      <c r="K46" s="117"/>
      <c r="L46" s="117"/>
      <c r="M46" s="117"/>
      <c r="N46" s="117"/>
      <c r="O46" s="120" t="s">
        <v>454</v>
      </c>
    </row>
    <row r="47" spans="1:15" ht="63.95" customHeight="1">
      <c r="A47" s="117" t="s">
        <v>529</v>
      </c>
      <c r="B47" s="118" t="s">
        <v>300</v>
      </c>
      <c r="C47" s="118" t="s">
        <v>301</v>
      </c>
      <c r="D47" s="119" t="s">
        <v>302</v>
      </c>
      <c r="E47" s="119" t="s">
        <v>303</v>
      </c>
      <c r="F47" s="117" t="s">
        <v>197</v>
      </c>
      <c r="G47" s="117" t="s">
        <v>308</v>
      </c>
      <c r="H47" s="117" t="s">
        <v>227</v>
      </c>
      <c r="I47" s="117"/>
      <c r="J47" s="117"/>
      <c r="K47" s="117"/>
      <c r="L47" s="117"/>
      <c r="M47" s="117"/>
      <c r="N47" s="117"/>
      <c r="O47" s="120" t="s">
        <v>454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07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23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44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46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8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0</v>
      </c>
      <c r="C6" s="60">
        <f>COUNTIF($F$11:$F$2000,C$5)</f>
        <v>0</v>
      </c>
      <c r="D6" s="60">
        <f>COUNTIF($F$11:$F$2000,D$5)</f>
        <v>8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530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531</v>
      </c>
      <c r="B12" s="118" t="s">
        <v>532</v>
      </c>
      <c r="C12" s="118" t="s">
        <v>533</v>
      </c>
      <c r="D12" s="119" t="s">
        <v>225</v>
      </c>
      <c r="E12" s="119" t="s">
        <v>226</v>
      </c>
      <c r="F12" s="117" t="s">
        <v>199</v>
      </c>
      <c r="G12" s="117"/>
      <c r="H12" s="117" t="s">
        <v>227</v>
      </c>
      <c r="I12" s="117"/>
      <c r="J12" s="117"/>
      <c r="K12" s="117"/>
      <c r="L12" s="117"/>
      <c r="M12" s="117"/>
      <c r="N12" s="117"/>
      <c r="O12" s="120" t="s">
        <v>534</v>
      </c>
    </row>
    <row r="13" spans="1:18" ht="15.75" customHeight="1" outlineLevel="1">
      <c r="A13" s="114" t="s">
        <v>535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78.95" customHeight="1" outlineLevel="1">
      <c r="A14" s="117" t="s">
        <v>536</v>
      </c>
      <c r="B14" s="118" t="s">
        <v>537</v>
      </c>
      <c r="C14" s="118" t="s">
        <v>538</v>
      </c>
      <c r="D14" s="119" t="s">
        <v>238</v>
      </c>
      <c r="E14" s="119" t="s">
        <v>394</v>
      </c>
      <c r="F14" s="117" t="s">
        <v>199</v>
      </c>
      <c r="G14" s="117"/>
      <c r="H14" s="117" t="s">
        <v>227</v>
      </c>
      <c r="I14" s="117"/>
      <c r="J14" s="117"/>
      <c r="K14" s="117"/>
      <c r="L14" s="117"/>
      <c r="M14" s="117"/>
      <c r="N14" s="117"/>
      <c r="O14" s="120" t="s">
        <v>534</v>
      </c>
    </row>
    <row r="15" spans="1:18" s="21" customFormat="1" ht="108.95" customHeight="1">
      <c r="A15" s="117" t="s">
        <v>539</v>
      </c>
      <c r="B15" s="118" t="s">
        <v>540</v>
      </c>
      <c r="C15" s="118" t="s">
        <v>541</v>
      </c>
      <c r="D15" s="119" t="s">
        <v>242</v>
      </c>
      <c r="E15" s="119" t="s">
        <v>394</v>
      </c>
      <c r="F15" s="117" t="s">
        <v>199</v>
      </c>
      <c r="G15" s="117"/>
      <c r="H15" s="117" t="s">
        <v>227</v>
      </c>
      <c r="I15" s="117"/>
      <c r="J15" s="117"/>
      <c r="K15" s="117"/>
      <c r="L15" s="117"/>
      <c r="M15" s="117"/>
      <c r="N15" s="117"/>
      <c r="O15" s="120" t="s">
        <v>534</v>
      </c>
    </row>
    <row r="16" spans="1:18" ht="15.75" customHeight="1" outlineLevel="1">
      <c r="A16" s="114" t="s">
        <v>542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78.95" customHeight="1" outlineLevel="1">
      <c r="A17" s="117" t="s">
        <v>543</v>
      </c>
      <c r="B17" s="118" t="s">
        <v>544</v>
      </c>
      <c r="C17" s="118" t="s">
        <v>545</v>
      </c>
      <c r="D17" s="119" t="s">
        <v>225</v>
      </c>
      <c r="E17" s="119" t="s">
        <v>248</v>
      </c>
      <c r="F17" s="117" t="s">
        <v>199</v>
      </c>
      <c r="G17" s="117"/>
      <c r="H17" s="117" t="s">
        <v>227</v>
      </c>
      <c r="I17" s="117"/>
      <c r="J17" s="117"/>
      <c r="K17" s="117"/>
      <c r="L17" s="117"/>
      <c r="M17" s="117"/>
      <c r="N17" s="117"/>
      <c r="O17" s="120" t="s">
        <v>534</v>
      </c>
    </row>
    <row r="18" spans="1:15" s="21" customFormat="1" ht="15.75" customHeight="1">
      <c r="A18" s="114" t="s">
        <v>546</v>
      </c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</row>
    <row r="19" spans="1:15" ht="93.95" customHeight="1" outlineLevel="1">
      <c r="A19" s="117" t="s">
        <v>547</v>
      </c>
      <c r="B19" s="118" t="s">
        <v>548</v>
      </c>
      <c r="C19" s="118" t="s">
        <v>549</v>
      </c>
      <c r="D19" s="119" t="s">
        <v>282</v>
      </c>
      <c r="E19" s="119" t="s">
        <v>248</v>
      </c>
      <c r="F19" s="117" t="s">
        <v>199</v>
      </c>
      <c r="G19" s="117"/>
      <c r="H19" s="117" t="s">
        <v>227</v>
      </c>
      <c r="I19" s="117"/>
      <c r="J19" s="117"/>
      <c r="K19" s="117"/>
      <c r="L19" s="117"/>
      <c r="M19" s="117"/>
      <c r="N19" s="117"/>
      <c r="O19" s="120" t="s">
        <v>534</v>
      </c>
    </row>
    <row r="20" spans="1:15" ht="123.95" customHeight="1">
      <c r="A20" s="117" t="s">
        <v>550</v>
      </c>
      <c r="B20" s="118" t="s">
        <v>551</v>
      </c>
      <c r="C20" s="118" t="s">
        <v>552</v>
      </c>
      <c r="D20" s="119" t="s">
        <v>242</v>
      </c>
      <c r="E20" s="119" t="s">
        <v>248</v>
      </c>
      <c r="F20" s="117" t="s">
        <v>199</v>
      </c>
      <c r="G20" s="117"/>
      <c r="H20" s="117" t="s">
        <v>227</v>
      </c>
      <c r="I20" s="117"/>
      <c r="J20" s="117"/>
      <c r="K20" s="117"/>
      <c r="L20" s="117"/>
      <c r="M20" s="117"/>
      <c r="N20" s="117"/>
      <c r="O20" s="120" t="s">
        <v>534</v>
      </c>
    </row>
    <row r="21" spans="1:15" ht="15.75" customHeight="1">
      <c r="A21" s="114" t="s">
        <v>293</v>
      </c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6"/>
    </row>
    <row r="22" spans="1:15" ht="78.95" customHeight="1">
      <c r="A22" s="117" t="s">
        <v>553</v>
      </c>
      <c r="B22" s="118" t="s">
        <v>295</v>
      </c>
      <c r="C22" s="118" t="s">
        <v>554</v>
      </c>
      <c r="D22" s="119" t="s">
        <v>297</v>
      </c>
      <c r="E22" s="119" t="s">
        <v>298</v>
      </c>
      <c r="F22" s="117" t="s">
        <v>199</v>
      </c>
      <c r="G22" s="117"/>
      <c r="H22" s="117" t="s">
        <v>227</v>
      </c>
      <c r="I22" s="117"/>
      <c r="J22" s="117"/>
      <c r="K22" s="117"/>
      <c r="L22" s="117"/>
      <c r="M22" s="117"/>
      <c r="N22" s="117"/>
      <c r="O22" s="120" t="s">
        <v>534</v>
      </c>
    </row>
    <row r="23" spans="1:15" ht="63.95" customHeight="1">
      <c r="A23" s="117" t="s">
        <v>555</v>
      </c>
      <c r="B23" s="118" t="s">
        <v>300</v>
      </c>
      <c r="C23" s="118" t="s">
        <v>301</v>
      </c>
      <c r="D23" s="119" t="s">
        <v>302</v>
      </c>
      <c r="E23" s="119" t="s">
        <v>303</v>
      </c>
      <c r="F23" s="117" t="s">
        <v>199</v>
      </c>
      <c r="G23" s="117"/>
      <c r="H23" s="117" t="s">
        <v>227</v>
      </c>
      <c r="I23" s="117"/>
      <c r="J23" s="117"/>
      <c r="K23" s="117"/>
      <c r="L23" s="117"/>
      <c r="M23" s="117"/>
      <c r="N23" s="117"/>
      <c r="O23" s="120" t="s">
        <v>534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08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R54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47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49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27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0</v>
      </c>
      <c r="C6" s="60">
        <f>COUNTIF($F$11:$F$2000,C$5)</f>
        <v>27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556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63.95" customHeight="1" outlineLevel="1">
      <c r="A12" s="117" t="s">
        <v>557</v>
      </c>
      <c r="B12" s="118" t="s">
        <v>558</v>
      </c>
      <c r="C12" s="118" t="s">
        <v>559</v>
      </c>
      <c r="D12" s="119" t="s">
        <v>225</v>
      </c>
      <c r="E12" s="119" t="s">
        <v>226</v>
      </c>
      <c r="F12" s="117" t="s">
        <v>198</v>
      </c>
      <c r="G12" s="117" t="s">
        <v>6</v>
      </c>
      <c r="H12" s="117" t="s">
        <v>227</v>
      </c>
      <c r="I12" s="117"/>
      <c r="J12" s="117"/>
      <c r="K12" s="117"/>
      <c r="L12" s="117"/>
      <c r="M12" s="117"/>
      <c r="N12" s="117"/>
      <c r="O12" s="120" t="s">
        <v>228</v>
      </c>
    </row>
    <row r="13" spans="1:18" ht="15.75" customHeight="1" outlineLevel="1">
      <c r="A13" s="114" t="s">
        <v>560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78.95" customHeight="1" outlineLevel="1">
      <c r="A14" s="117" t="s">
        <v>561</v>
      </c>
      <c r="B14" s="118" t="s">
        <v>562</v>
      </c>
      <c r="C14" s="118" t="s">
        <v>563</v>
      </c>
      <c r="D14" s="119" t="s">
        <v>238</v>
      </c>
      <c r="E14" s="119" t="s">
        <v>226</v>
      </c>
      <c r="F14" s="117" t="s">
        <v>198</v>
      </c>
      <c r="G14" s="117" t="s">
        <v>6</v>
      </c>
      <c r="H14" s="117" t="s">
        <v>227</v>
      </c>
      <c r="I14" s="117"/>
      <c r="J14" s="117"/>
      <c r="K14" s="117"/>
      <c r="L14" s="117"/>
      <c r="M14" s="117"/>
      <c r="N14" s="117"/>
      <c r="O14" s="120" t="s">
        <v>228</v>
      </c>
    </row>
    <row r="15" spans="1:18" s="21" customFormat="1" ht="108.95" customHeight="1">
      <c r="A15" s="117" t="s">
        <v>564</v>
      </c>
      <c r="B15" s="118" t="s">
        <v>565</v>
      </c>
      <c r="C15" s="118" t="s">
        <v>566</v>
      </c>
      <c r="D15" s="119" t="s">
        <v>242</v>
      </c>
      <c r="E15" s="119" t="s">
        <v>226</v>
      </c>
      <c r="F15" s="117" t="s">
        <v>198</v>
      </c>
      <c r="G15" s="117" t="s">
        <v>6</v>
      </c>
      <c r="H15" s="117" t="s">
        <v>227</v>
      </c>
      <c r="I15" s="117"/>
      <c r="J15" s="117"/>
      <c r="K15" s="117"/>
      <c r="L15" s="117"/>
      <c r="M15" s="117"/>
      <c r="N15" s="117"/>
      <c r="O15" s="120" t="s">
        <v>228</v>
      </c>
    </row>
    <row r="16" spans="1:18" ht="15.75" customHeight="1" outlineLevel="1">
      <c r="A16" s="114" t="s">
        <v>567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78.95" customHeight="1" outlineLevel="1">
      <c r="A17" s="117" t="s">
        <v>568</v>
      </c>
      <c r="B17" s="118" t="s">
        <v>569</v>
      </c>
      <c r="C17" s="118" t="s">
        <v>570</v>
      </c>
      <c r="D17" s="119" t="s">
        <v>247</v>
      </c>
      <c r="E17" s="119" t="s">
        <v>248</v>
      </c>
      <c r="F17" s="117" t="s">
        <v>198</v>
      </c>
      <c r="G17" s="117" t="s">
        <v>6</v>
      </c>
      <c r="H17" s="117" t="s">
        <v>227</v>
      </c>
      <c r="I17" s="117"/>
      <c r="J17" s="117"/>
      <c r="K17" s="117"/>
      <c r="L17" s="117"/>
      <c r="M17" s="117"/>
      <c r="N17" s="117"/>
      <c r="O17" s="120" t="s">
        <v>228</v>
      </c>
    </row>
    <row r="18" spans="1:15" s="21" customFormat="1" ht="123.95" customHeight="1">
      <c r="A18" s="117" t="s">
        <v>571</v>
      </c>
      <c r="B18" s="118" t="s">
        <v>572</v>
      </c>
      <c r="C18" s="118" t="s">
        <v>573</v>
      </c>
      <c r="D18" s="119" t="s">
        <v>242</v>
      </c>
      <c r="E18" s="119" t="s">
        <v>248</v>
      </c>
      <c r="F18" s="117" t="s">
        <v>198</v>
      </c>
      <c r="G18" s="117" t="s">
        <v>6</v>
      </c>
      <c r="H18" s="117" t="s">
        <v>227</v>
      </c>
      <c r="I18" s="117"/>
      <c r="J18" s="117"/>
      <c r="K18" s="117"/>
      <c r="L18" s="117"/>
      <c r="M18" s="117"/>
      <c r="N18" s="117"/>
      <c r="O18" s="120" t="s">
        <v>228</v>
      </c>
    </row>
    <row r="19" spans="1:15" ht="15.75" customHeight="1" outlineLevel="1">
      <c r="A19" s="114" t="s">
        <v>574</v>
      </c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6"/>
    </row>
    <row r="20" spans="1:15" ht="63.95" customHeight="1">
      <c r="A20" s="117" t="s">
        <v>575</v>
      </c>
      <c r="B20" s="118" t="s">
        <v>576</v>
      </c>
      <c r="C20" s="118" t="s">
        <v>577</v>
      </c>
      <c r="D20" s="119" t="s">
        <v>225</v>
      </c>
      <c r="E20" s="119" t="s">
        <v>226</v>
      </c>
      <c r="F20" s="117" t="s">
        <v>198</v>
      </c>
      <c r="G20" s="117" t="s">
        <v>6</v>
      </c>
      <c r="H20" s="117" t="s">
        <v>227</v>
      </c>
      <c r="I20" s="117"/>
      <c r="J20" s="117"/>
      <c r="K20" s="117"/>
      <c r="L20" s="117"/>
      <c r="M20" s="117"/>
      <c r="N20" s="117"/>
      <c r="O20" s="120" t="s">
        <v>228</v>
      </c>
    </row>
    <row r="21" spans="1:15" ht="15.75" customHeight="1">
      <c r="A21" s="114" t="s">
        <v>578</v>
      </c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6"/>
    </row>
    <row r="22" spans="1:15" ht="78.95" customHeight="1">
      <c r="A22" s="117" t="s">
        <v>579</v>
      </c>
      <c r="B22" s="118" t="s">
        <v>580</v>
      </c>
      <c r="C22" s="118" t="s">
        <v>581</v>
      </c>
      <c r="D22" s="119" t="s">
        <v>238</v>
      </c>
      <c r="E22" s="119" t="s">
        <v>226</v>
      </c>
      <c r="F22" s="117" t="s">
        <v>198</v>
      </c>
      <c r="G22" s="117" t="s">
        <v>6</v>
      </c>
      <c r="H22" s="117" t="s">
        <v>227</v>
      </c>
      <c r="I22" s="117"/>
      <c r="J22" s="117"/>
      <c r="K22" s="117"/>
      <c r="L22" s="117"/>
      <c r="M22" s="117"/>
      <c r="N22" s="117"/>
      <c r="O22" s="120" t="s">
        <v>228</v>
      </c>
    </row>
    <row r="23" spans="1:15" ht="108.95" customHeight="1">
      <c r="A23" s="117" t="s">
        <v>582</v>
      </c>
      <c r="B23" s="118" t="s">
        <v>583</v>
      </c>
      <c r="C23" s="118" t="s">
        <v>584</v>
      </c>
      <c r="D23" s="119" t="s">
        <v>242</v>
      </c>
      <c r="E23" s="119" t="s">
        <v>226</v>
      </c>
      <c r="F23" s="117" t="s">
        <v>198</v>
      </c>
      <c r="G23" s="117" t="s">
        <v>6</v>
      </c>
      <c r="H23" s="117" t="s">
        <v>227</v>
      </c>
      <c r="I23" s="117"/>
      <c r="J23" s="117"/>
      <c r="K23" s="117"/>
      <c r="L23" s="117"/>
      <c r="M23" s="117"/>
      <c r="N23" s="117"/>
      <c r="O23" s="120" t="s">
        <v>228</v>
      </c>
    </row>
    <row r="24" spans="1:15" ht="15.75" customHeight="1">
      <c r="A24" s="114" t="s">
        <v>585</v>
      </c>
      <c r="B24" s="114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6"/>
    </row>
    <row r="25" spans="1:15" ht="78.95" customHeight="1">
      <c r="A25" s="117" t="s">
        <v>586</v>
      </c>
      <c r="B25" s="118" t="s">
        <v>587</v>
      </c>
      <c r="C25" s="118" t="s">
        <v>588</v>
      </c>
      <c r="D25" s="119" t="s">
        <v>247</v>
      </c>
      <c r="E25" s="119" t="s">
        <v>248</v>
      </c>
      <c r="F25" s="117" t="s">
        <v>198</v>
      </c>
      <c r="G25" s="117" t="s">
        <v>6</v>
      </c>
      <c r="H25" s="117" t="s">
        <v>227</v>
      </c>
      <c r="I25" s="117"/>
      <c r="J25" s="117"/>
      <c r="K25" s="117"/>
      <c r="L25" s="117"/>
      <c r="M25" s="117"/>
      <c r="N25" s="117"/>
      <c r="O25" s="120" t="s">
        <v>228</v>
      </c>
    </row>
    <row r="26" spans="1:15" ht="123.95" customHeight="1">
      <c r="A26" s="117" t="s">
        <v>589</v>
      </c>
      <c r="B26" s="118" t="s">
        <v>590</v>
      </c>
      <c r="C26" s="118" t="s">
        <v>591</v>
      </c>
      <c r="D26" s="119" t="s">
        <v>242</v>
      </c>
      <c r="E26" s="119" t="s">
        <v>248</v>
      </c>
      <c r="F26" s="117" t="s">
        <v>198</v>
      </c>
      <c r="G26" s="117" t="s">
        <v>6</v>
      </c>
      <c r="H26" s="117" t="s">
        <v>227</v>
      </c>
      <c r="I26" s="117"/>
      <c r="J26" s="117"/>
      <c r="K26" s="117"/>
      <c r="L26" s="117"/>
      <c r="M26" s="117"/>
      <c r="N26" s="117"/>
      <c r="O26" s="120" t="s">
        <v>228</v>
      </c>
    </row>
    <row r="27" spans="1:15" ht="15.75" customHeight="1">
      <c r="A27" s="114" t="s">
        <v>592</v>
      </c>
      <c r="B27" s="114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6"/>
    </row>
    <row r="28" spans="1:15" ht="63.95" customHeight="1">
      <c r="A28" s="117" t="s">
        <v>593</v>
      </c>
      <c r="B28" s="118" t="s">
        <v>594</v>
      </c>
      <c r="C28" s="118" t="s">
        <v>595</v>
      </c>
      <c r="D28" s="119" t="s">
        <v>225</v>
      </c>
      <c r="E28" s="119" t="s">
        <v>226</v>
      </c>
      <c r="F28" s="117" t="s">
        <v>198</v>
      </c>
      <c r="G28" s="117" t="s">
        <v>6</v>
      </c>
      <c r="H28" s="117" t="s">
        <v>227</v>
      </c>
      <c r="I28" s="117"/>
      <c r="J28" s="117"/>
      <c r="K28" s="117"/>
      <c r="L28" s="117"/>
      <c r="M28" s="117"/>
      <c r="N28" s="117"/>
      <c r="O28" s="120" t="s">
        <v>228</v>
      </c>
    </row>
    <row r="29" spans="1:15" ht="15.75" customHeight="1">
      <c r="A29" s="114" t="s">
        <v>596</v>
      </c>
      <c r="B29" s="114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6"/>
    </row>
    <row r="30" spans="1:15" ht="78.95" customHeight="1">
      <c r="A30" s="117" t="s">
        <v>597</v>
      </c>
      <c r="B30" s="118" t="s">
        <v>598</v>
      </c>
      <c r="C30" s="118" t="s">
        <v>599</v>
      </c>
      <c r="D30" s="119" t="s">
        <v>260</v>
      </c>
      <c r="E30" s="119" t="s">
        <v>248</v>
      </c>
      <c r="F30" s="117" t="s">
        <v>198</v>
      </c>
      <c r="G30" s="117" t="s">
        <v>6</v>
      </c>
      <c r="H30" s="117" t="s">
        <v>227</v>
      </c>
      <c r="I30" s="117"/>
      <c r="J30" s="117"/>
      <c r="K30" s="117"/>
      <c r="L30" s="117"/>
      <c r="M30" s="117"/>
      <c r="N30" s="117"/>
      <c r="O30" s="120" t="s">
        <v>228</v>
      </c>
    </row>
    <row r="31" spans="1:15" ht="108.95" customHeight="1">
      <c r="A31" s="117" t="s">
        <v>600</v>
      </c>
      <c r="B31" s="118" t="s">
        <v>601</v>
      </c>
      <c r="C31" s="118" t="s">
        <v>602</v>
      </c>
      <c r="D31" s="119" t="s">
        <v>242</v>
      </c>
      <c r="E31" s="119" t="s">
        <v>248</v>
      </c>
      <c r="F31" s="117" t="s">
        <v>198</v>
      </c>
      <c r="G31" s="117" t="s">
        <v>6</v>
      </c>
      <c r="H31" s="117" t="s">
        <v>227</v>
      </c>
      <c r="I31" s="117"/>
      <c r="J31" s="117"/>
      <c r="K31" s="117"/>
      <c r="L31" s="117"/>
      <c r="M31" s="117"/>
      <c r="N31" s="117"/>
      <c r="O31" s="120" t="s">
        <v>228</v>
      </c>
    </row>
    <row r="32" spans="1:15" ht="15.75" customHeight="1">
      <c r="A32" s="114" t="s">
        <v>603</v>
      </c>
      <c r="B32" s="114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6"/>
    </row>
    <row r="33" spans="1:15" ht="78.95" customHeight="1">
      <c r="A33" s="117" t="s">
        <v>604</v>
      </c>
      <c r="B33" s="118" t="s">
        <v>605</v>
      </c>
      <c r="C33" s="118" t="s">
        <v>606</v>
      </c>
      <c r="D33" s="119" t="s">
        <v>225</v>
      </c>
      <c r="E33" s="119" t="s">
        <v>226</v>
      </c>
      <c r="F33" s="117" t="s">
        <v>198</v>
      </c>
      <c r="G33" s="117" t="s">
        <v>6</v>
      </c>
      <c r="H33" s="117" t="s">
        <v>227</v>
      </c>
      <c r="I33" s="117"/>
      <c r="J33" s="117"/>
      <c r="K33" s="117"/>
      <c r="L33" s="117"/>
      <c r="M33" s="117"/>
      <c r="N33" s="117"/>
      <c r="O33" s="120" t="s">
        <v>228</v>
      </c>
    </row>
    <row r="34" spans="1:15" ht="15.75" customHeight="1">
      <c r="A34" s="114" t="s">
        <v>607</v>
      </c>
      <c r="B34" s="114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6"/>
    </row>
    <row r="35" spans="1:15" ht="78.95" customHeight="1">
      <c r="A35" s="117" t="s">
        <v>608</v>
      </c>
      <c r="B35" s="118" t="s">
        <v>609</v>
      </c>
      <c r="C35" s="118" t="s">
        <v>610</v>
      </c>
      <c r="D35" s="119" t="s">
        <v>260</v>
      </c>
      <c r="E35" s="119" t="s">
        <v>226</v>
      </c>
      <c r="F35" s="117" t="s">
        <v>198</v>
      </c>
      <c r="G35" s="117" t="s">
        <v>6</v>
      </c>
      <c r="H35" s="117" t="s">
        <v>227</v>
      </c>
      <c r="I35" s="117"/>
      <c r="J35" s="117"/>
      <c r="K35" s="117"/>
      <c r="L35" s="117"/>
      <c r="M35" s="117"/>
      <c r="N35" s="117"/>
      <c r="O35" s="120" t="s">
        <v>228</v>
      </c>
    </row>
    <row r="36" spans="1:15" ht="108.95" customHeight="1">
      <c r="A36" s="117" t="s">
        <v>611</v>
      </c>
      <c r="B36" s="118" t="s">
        <v>612</v>
      </c>
      <c r="C36" s="118" t="s">
        <v>613</v>
      </c>
      <c r="D36" s="119" t="s">
        <v>242</v>
      </c>
      <c r="E36" s="119" t="s">
        <v>226</v>
      </c>
      <c r="F36" s="117" t="s">
        <v>198</v>
      </c>
      <c r="G36" s="117" t="s">
        <v>6</v>
      </c>
      <c r="H36" s="117" t="s">
        <v>227</v>
      </c>
      <c r="I36" s="117"/>
      <c r="J36" s="117"/>
      <c r="K36" s="117"/>
      <c r="L36" s="117"/>
      <c r="M36" s="117"/>
      <c r="N36" s="117"/>
      <c r="O36" s="120" t="s">
        <v>228</v>
      </c>
    </row>
    <row r="37" spans="1:15" ht="15.75" customHeight="1">
      <c r="A37" s="114" t="s">
        <v>614</v>
      </c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6"/>
    </row>
    <row r="38" spans="1:15" ht="63.95" customHeight="1">
      <c r="A38" s="117" t="s">
        <v>615</v>
      </c>
      <c r="B38" s="118" t="s">
        <v>616</v>
      </c>
      <c r="C38" s="118" t="s">
        <v>617</v>
      </c>
      <c r="D38" s="119" t="s">
        <v>225</v>
      </c>
      <c r="E38" s="119" t="s">
        <v>226</v>
      </c>
      <c r="F38" s="117" t="s">
        <v>198</v>
      </c>
      <c r="G38" s="117" t="s">
        <v>6</v>
      </c>
      <c r="H38" s="117" t="s">
        <v>227</v>
      </c>
      <c r="I38" s="117"/>
      <c r="J38" s="117"/>
      <c r="K38" s="117"/>
      <c r="L38" s="117"/>
      <c r="M38" s="117"/>
      <c r="N38" s="117"/>
      <c r="O38" s="120" t="s">
        <v>228</v>
      </c>
    </row>
    <row r="39" spans="1:15" ht="15.75" customHeight="1">
      <c r="A39" s="114" t="s">
        <v>618</v>
      </c>
      <c r="B39" s="114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6"/>
    </row>
    <row r="40" spans="1:15" ht="78.95" customHeight="1">
      <c r="A40" s="117" t="s">
        <v>619</v>
      </c>
      <c r="B40" s="118" t="s">
        <v>620</v>
      </c>
      <c r="C40" s="118" t="s">
        <v>621</v>
      </c>
      <c r="D40" s="119" t="s">
        <v>260</v>
      </c>
      <c r="E40" s="119" t="s">
        <v>248</v>
      </c>
      <c r="F40" s="117" t="s">
        <v>198</v>
      </c>
      <c r="G40" s="117" t="s">
        <v>6</v>
      </c>
      <c r="H40" s="117" t="s">
        <v>227</v>
      </c>
      <c r="I40" s="117"/>
      <c r="J40" s="117"/>
      <c r="K40" s="117"/>
      <c r="L40" s="117"/>
      <c r="M40" s="117"/>
      <c r="N40" s="117"/>
      <c r="O40" s="120" t="s">
        <v>228</v>
      </c>
    </row>
    <row r="41" spans="1:15" ht="108.95" customHeight="1">
      <c r="A41" s="117" t="s">
        <v>622</v>
      </c>
      <c r="B41" s="118" t="s">
        <v>623</v>
      </c>
      <c r="C41" s="118" t="s">
        <v>624</v>
      </c>
      <c r="D41" s="119" t="s">
        <v>242</v>
      </c>
      <c r="E41" s="119" t="s">
        <v>248</v>
      </c>
      <c r="F41" s="117" t="s">
        <v>198</v>
      </c>
      <c r="G41" s="117" t="s">
        <v>6</v>
      </c>
      <c r="H41" s="117" t="s">
        <v>227</v>
      </c>
      <c r="I41" s="117"/>
      <c r="J41" s="117"/>
      <c r="K41" s="117"/>
      <c r="L41" s="117"/>
      <c r="M41" s="117"/>
      <c r="N41" s="117"/>
      <c r="O41" s="120" t="s">
        <v>228</v>
      </c>
    </row>
    <row r="42" spans="1:15" ht="15.75" customHeight="1">
      <c r="A42" s="114" t="s">
        <v>625</v>
      </c>
      <c r="B42" s="114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6"/>
    </row>
    <row r="43" spans="1:15" ht="78.95" customHeight="1">
      <c r="A43" s="117" t="s">
        <v>626</v>
      </c>
      <c r="B43" s="118" t="s">
        <v>627</v>
      </c>
      <c r="C43" s="118" t="s">
        <v>628</v>
      </c>
      <c r="D43" s="119" t="s">
        <v>238</v>
      </c>
      <c r="E43" s="119" t="s">
        <v>226</v>
      </c>
      <c r="F43" s="117" t="s">
        <v>198</v>
      </c>
      <c r="G43" s="117" t="s">
        <v>6</v>
      </c>
      <c r="H43" s="117" t="s">
        <v>227</v>
      </c>
      <c r="I43" s="117"/>
      <c r="J43" s="117"/>
      <c r="K43" s="117"/>
      <c r="L43" s="117"/>
      <c r="M43" s="117"/>
      <c r="N43" s="117"/>
      <c r="O43" s="120" t="s">
        <v>228</v>
      </c>
    </row>
    <row r="44" spans="1:15" ht="123.95" customHeight="1">
      <c r="A44" s="117" t="s">
        <v>629</v>
      </c>
      <c r="B44" s="118" t="s">
        <v>630</v>
      </c>
      <c r="C44" s="118" t="s">
        <v>631</v>
      </c>
      <c r="D44" s="119" t="s">
        <v>242</v>
      </c>
      <c r="E44" s="119" t="s">
        <v>226</v>
      </c>
      <c r="F44" s="117" t="s">
        <v>198</v>
      </c>
      <c r="G44" s="117" t="s">
        <v>6</v>
      </c>
      <c r="H44" s="117" t="s">
        <v>227</v>
      </c>
      <c r="I44" s="117"/>
      <c r="J44" s="117"/>
      <c r="K44" s="117"/>
      <c r="L44" s="117"/>
      <c r="M44" s="117"/>
      <c r="N44" s="117"/>
      <c r="O44" s="120" t="s">
        <v>228</v>
      </c>
    </row>
    <row r="45" spans="1:15" ht="15.75" customHeight="1">
      <c r="A45" s="114" t="s">
        <v>632</v>
      </c>
      <c r="B45" s="114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6"/>
    </row>
    <row r="46" spans="1:15" ht="78.95" customHeight="1">
      <c r="A46" s="117" t="s">
        <v>633</v>
      </c>
      <c r="B46" s="118" t="s">
        <v>634</v>
      </c>
      <c r="C46" s="118" t="s">
        <v>635</v>
      </c>
      <c r="D46" s="119" t="s">
        <v>225</v>
      </c>
      <c r="E46" s="119" t="s">
        <v>226</v>
      </c>
      <c r="F46" s="117" t="s">
        <v>198</v>
      </c>
      <c r="G46" s="117" t="s">
        <v>6</v>
      </c>
      <c r="H46" s="117" t="s">
        <v>227</v>
      </c>
      <c r="I46" s="117"/>
      <c r="J46" s="117"/>
      <c r="K46" s="117"/>
      <c r="L46" s="117"/>
      <c r="M46" s="117"/>
      <c r="N46" s="117"/>
      <c r="O46" s="120" t="s">
        <v>228</v>
      </c>
    </row>
    <row r="47" spans="1:15" ht="15.75" customHeight="1">
      <c r="A47" s="114" t="s">
        <v>636</v>
      </c>
      <c r="B47" s="114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6"/>
    </row>
    <row r="48" spans="1:15" ht="78.95" customHeight="1">
      <c r="A48" s="117" t="s">
        <v>637</v>
      </c>
      <c r="B48" s="118" t="s">
        <v>638</v>
      </c>
      <c r="C48" s="118" t="s">
        <v>639</v>
      </c>
      <c r="D48" s="119" t="s">
        <v>225</v>
      </c>
      <c r="E48" s="119" t="s">
        <v>226</v>
      </c>
      <c r="F48" s="117" t="s">
        <v>198</v>
      </c>
      <c r="G48" s="117" t="s">
        <v>6</v>
      </c>
      <c r="H48" s="117" t="s">
        <v>227</v>
      </c>
      <c r="I48" s="117"/>
      <c r="J48" s="117"/>
      <c r="K48" s="117"/>
      <c r="L48" s="117"/>
      <c r="M48" s="117"/>
      <c r="N48" s="117"/>
      <c r="O48" s="120" t="s">
        <v>228</v>
      </c>
    </row>
    <row r="49" spans="1:15" ht="15.75" customHeight="1">
      <c r="A49" s="114" t="s">
        <v>640</v>
      </c>
      <c r="B49" s="114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6"/>
    </row>
    <row r="50" spans="1:15" ht="78.95" customHeight="1">
      <c r="A50" s="117" t="s">
        <v>641</v>
      </c>
      <c r="B50" s="118" t="s">
        <v>642</v>
      </c>
      <c r="C50" s="118" t="s">
        <v>643</v>
      </c>
      <c r="D50" s="119" t="s">
        <v>238</v>
      </c>
      <c r="E50" s="119" t="s">
        <v>226</v>
      </c>
      <c r="F50" s="117" t="s">
        <v>198</v>
      </c>
      <c r="G50" s="117" t="s">
        <v>6</v>
      </c>
      <c r="H50" s="117" t="s">
        <v>227</v>
      </c>
      <c r="I50" s="117"/>
      <c r="J50" s="117"/>
      <c r="K50" s="117"/>
      <c r="L50" s="117"/>
      <c r="M50" s="117"/>
      <c r="N50" s="117"/>
      <c r="O50" s="120" t="s">
        <v>228</v>
      </c>
    </row>
    <row r="51" spans="1:15" ht="123.95" customHeight="1">
      <c r="A51" s="117" t="s">
        <v>644</v>
      </c>
      <c r="B51" s="118" t="s">
        <v>645</v>
      </c>
      <c r="C51" s="118" t="s">
        <v>646</v>
      </c>
      <c r="D51" s="119" t="s">
        <v>242</v>
      </c>
      <c r="E51" s="119" t="s">
        <v>226</v>
      </c>
      <c r="F51" s="117" t="s">
        <v>198</v>
      </c>
      <c r="G51" s="117" t="s">
        <v>6</v>
      </c>
      <c r="H51" s="117" t="s">
        <v>227</v>
      </c>
      <c r="I51" s="117"/>
      <c r="J51" s="117"/>
      <c r="K51" s="117"/>
      <c r="L51" s="117"/>
      <c r="M51" s="117"/>
      <c r="N51" s="117"/>
      <c r="O51" s="120" t="s">
        <v>228</v>
      </c>
    </row>
    <row r="52" spans="1:15" ht="15.75" customHeight="1">
      <c r="A52" s="114" t="s">
        <v>293</v>
      </c>
      <c r="B52" s="114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6"/>
    </row>
    <row r="53" spans="1:15" ht="78.95" customHeight="1">
      <c r="A53" s="117" t="s">
        <v>647</v>
      </c>
      <c r="B53" s="118" t="s">
        <v>295</v>
      </c>
      <c r="C53" s="118" t="s">
        <v>648</v>
      </c>
      <c r="D53" s="119" t="s">
        <v>297</v>
      </c>
      <c r="E53" s="119" t="s">
        <v>298</v>
      </c>
      <c r="F53" s="117" t="s">
        <v>198</v>
      </c>
      <c r="G53" s="117" t="s">
        <v>6</v>
      </c>
      <c r="H53" s="117" t="s">
        <v>227</v>
      </c>
      <c r="I53" s="117"/>
      <c r="J53" s="117"/>
      <c r="K53" s="117"/>
      <c r="L53" s="117"/>
      <c r="M53" s="117"/>
      <c r="N53" s="117"/>
      <c r="O53" s="120" t="s">
        <v>228</v>
      </c>
    </row>
    <row r="54" spans="1:15" ht="63.95" customHeight="1">
      <c r="A54" s="117" t="s">
        <v>649</v>
      </c>
      <c r="B54" s="118" t="s">
        <v>300</v>
      </c>
      <c r="C54" s="118" t="s">
        <v>301</v>
      </c>
      <c r="D54" s="119" t="s">
        <v>302</v>
      </c>
      <c r="E54" s="119" t="s">
        <v>303</v>
      </c>
      <c r="F54" s="117" t="s">
        <v>198</v>
      </c>
      <c r="G54" s="117" t="s">
        <v>6</v>
      </c>
      <c r="H54" s="117" t="s">
        <v>227</v>
      </c>
      <c r="I54" s="117"/>
      <c r="J54" s="117"/>
      <c r="K54" s="117"/>
      <c r="L54" s="117"/>
      <c r="M54" s="117"/>
      <c r="N54" s="117"/>
      <c r="O54" s="120" t="s">
        <v>228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09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50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52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5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0</v>
      </c>
      <c r="C6" s="60">
        <f>COUNTIF($F$11:$F$2000,C$5)</f>
        <v>0</v>
      </c>
      <c r="D6" s="60">
        <f>COUNTIF($F$11:$F$2000,D$5)</f>
        <v>5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650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651</v>
      </c>
      <c r="B12" s="118" t="s">
        <v>652</v>
      </c>
      <c r="C12" s="118" t="s">
        <v>653</v>
      </c>
      <c r="D12" s="119" t="s">
        <v>225</v>
      </c>
      <c r="E12" s="119" t="s">
        <v>226</v>
      </c>
      <c r="F12" s="117" t="s">
        <v>199</v>
      </c>
      <c r="G12" s="117"/>
      <c r="H12" s="117" t="s">
        <v>654</v>
      </c>
      <c r="I12" s="117"/>
      <c r="J12" s="117"/>
      <c r="K12" s="117"/>
      <c r="L12" s="117"/>
      <c r="M12" s="117"/>
      <c r="N12" s="117"/>
      <c r="O12" s="120" t="s">
        <v>534</v>
      </c>
    </row>
    <row r="13" spans="1:18" ht="15.75" customHeight="1" outlineLevel="1">
      <c r="A13" s="114" t="s">
        <v>655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78.95" customHeight="1" outlineLevel="1">
      <c r="A14" s="117" t="s">
        <v>656</v>
      </c>
      <c r="B14" s="118" t="s">
        <v>657</v>
      </c>
      <c r="C14" s="118" t="s">
        <v>658</v>
      </c>
      <c r="D14" s="119" t="s">
        <v>225</v>
      </c>
      <c r="E14" s="119" t="s">
        <v>226</v>
      </c>
      <c r="F14" s="117" t="s">
        <v>199</v>
      </c>
      <c r="G14" s="117"/>
      <c r="H14" s="117" t="s">
        <v>654</v>
      </c>
      <c r="I14" s="117"/>
      <c r="J14" s="117"/>
      <c r="K14" s="117"/>
      <c r="L14" s="117"/>
      <c r="M14" s="117"/>
      <c r="N14" s="117"/>
      <c r="O14" s="120" t="s">
        <v>534</v>
      </c>
    </row>
    <row r="15" spans="1:18" s="21" customFormat="1" ht="15.75" customHeight="1">
      <c r="A15" s="114" t="s">
        <v>659</v>
      </c>
      <c r="B15" s="114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6"/>
    </row>
    <row r="16" spans="1:18" ht="78.95" customHeight="1" outlineLevel="1">
      <c r="A16" s="117" t="s">
        <v>660</v>
      </c>
      <c r="B16" s="118" t="s">
        <v>661</v>
      </c>
      <c r="C16" s="118" t="s">
        <v>662</v>
      </c>
      <c r="D16" s="119" t="s">
        <v>225</v>
      </c>
      <c r="E16" s="119" t="s">
        <v>226</v>
      </c>
      <c r="F16" s="117" t="s">
        <v>199</v>
      </c>
      <c r="G16" s="117"/>
      <c r="H16" s="117" t="s">
        <v>654</v>
      </c>
      <c r="I16" s="117"/>
      <c r="J16" s="117"/>
      <c r="K16" s="117"/>
      <c r="L16" s="117"/>
      <c r="M16" s="117"/>
      <c r="N16" s="117"/>
      <c r="O16" s="120" t="s">
        <v>534</v>
      </c>
    </row>
    <row r="17" spans="1:15" ht="15.75" customHeight="1" outlineLevel="1">
      <c r="A17" s="114" t="s">
        <v>293</v>
      </c>
      <c r="B17" s="114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6"/>
    </row>
    <row r="18" spans="1:15" s="21" customFormat="1" ht="78.95" customHeight="1">
      <c r="A18" s="117" t="s">
        <v>663</v>
      </c>
      <c r="B18" s="118" t="s">
        <v>295</v>
      </c>
      <c r="C18" s="118" t="s">
        <v>664</v>
      </c>
      <c r="D18" s="119" t="s">
        <v>297</v>
      </c>
      <c r="E18" s="119" t="s">
        <v>298</v>
      </c>
      <c r="F18" s="117" t="s">
        <v>199</v>
      </c>
      <c r="G18" s="117"/>
      <c r="H18" s="117" t="s">
        <v>654</v>
      </c>
      <c r="I18" s="117"/>
      <c r="J18" s="117"/>
      <c r="K18" s="117"/>
      <c r="L18" s="117"/>
      <c r="M18" s="117"/>
      <c r="N18" s="117"/>
      <c r="O18" s="120" t="s">
        <v>534</v>
      </c>
    </row>
    <row r="19" spans="1:15" ht="63.95" customHeight="1" outlineLevel="1">
      <c r="A19" s="117" t="s">
        <v>665</v>
      </c>
      <c r="B19" s="118" t="s">
        <v>300</v>
      </c>
      <c r="C19" s="118" t="s">
        <v>301</v>
      </c>
      <c r="D19" s="119" t="s">
        <v>302</v>
      </c>
      <c r="E19" s="119" t="s">
        <v>303</v>
      </c>
      <c r="F19" s="117" t="s">
        <v>199</v>
      </c>
      <c r="G19" s="117"/>
      <c r="H19" s="117" t="s">
        <v>654</v>
      </c>
      <c r="I19" s="117"/>
      <c r="J19" s="117"/>
      <c r="K19" s="117"/>
      <c r="L19" s="117"/>
      <c r="M19" s="117"/>
      <c r="N19" s="117"/>
      <c r="O19" s="120" t="s">
        <v>534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0A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R71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53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55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38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38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666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667</v>
      </c>
      <c r="B12" s="118" t="s">
        <v>668</v>
      </c>
      <c r="C12" s="118" t="s">
        <v>669</v>
      </c>
      <c r="D12" s="119" t="s">
        <v>238</v>
      </c>
      <c r="E12" s="119" t="s">
        <v>670</v>
      </c>
      <c r="F12" s="117" t="s">
        <v>197</v>
      </c>
      <c r="G12" s="117" t="s">
        <v>671</v>
      </c>
      <c r="H12" s="117" t="s">
        <v>672</v>
      </c>
      <c r="I12" s="117"/>
      <c r="J12" s="117"/>
      <c r="K12" s="117"/>
      <c r="L12" s="117"/>
      <c r="M12" s="117"/>
      <c r="N12" s="117"/>
      <c r="O12" s="120" t="s">
        <v>673</v>
      </c>
    </row>
    <row r="13" spans="1:18" ht="138.94999999999999" customHeight="1" outlineLevel="1">
      <c r="A13" s="117" t="s">
        <v>674</v>
      </c>
      <c r="B13" s="118" t="s">
        <v>675</v>
      </c>
      <c r="C13" s="118" t="s">
        <v>676</v>
      </c>
      <c r="D13" s="119" t="s">
        <v>242</v>
      </c>
      <c r="E13" s="119" t="s">
        <v>670</v>
      </c>
      <c r="F13" s="117" t="s">
        <v>197</v>
      </c>
      <c r="G13" s="117" t="s">
        <v>671</v>
      </c>
      <c r="H13" s="117" t="s">
        <v>672</v>
      </c>
      <c r="I13" s="117"/>
      <c r="J13" s="117"/>
      <c r="K13" s="117"/>
      <c r="L13" s="117"/>
      <c r="M13" s="117"/>
      <c r="N13" s="117"/>
      <c r="O13" s="120" t="s">
        <v>673</v>
      </c>
    </row>
    <row r="14" spans="1:18" ht="15.75" customHeight="1" outlineLevel="1">
      <c r="A14" s="114" t="s">
        <v>677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93.95" customHeight="1">
      <c r="A15" s="117" t="s">
        <v>678</v>
      </c>
      <c r="B15" s="118" t="s">
        <v>679</v>
      </c>
      <c r="C15" s="118" t="s">
        <v>680</v>
      </c>
      <c r="D15" s="119" t="s">
        <v>681</v>
      </c>
      <c r="E15" s="119" t="s">
        <v>670</v>
      </c>
      <c r="F15" s="117" t="s">
        <v>197</v>
      </c>
      <c r="G15" s="117" t="s">
        <v>671</v>
      </c>
      <c r="H15" s="117" t="s">
        <v>672</v>
      </c>
      <c r="I15" s="117"/>
      <c r="J15" s="117"/>
      <c r="K15" s="117"/>
      <c r="L15" s="117"/>
      <c r="M15" s="117"/>
      <c r="N15" s="117"/>
      <c r="O15" s="120" t="s">
        <v>673</v>
      </c>
    </row>
    <row r="16" spans="1:18" ht="15.75" customHeight="1" outlineLevel="1">
      <c r="A16" s="114" t="s">
        <v>682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93.95" customHeight="1" outlineLevel="1">
      <c r="A17" s="117" t="s">
        <v>683</v>
      </c>
      <c r="B17" s="118" t="s">
        <v>684</v>
      </c>
      <c r="C17" s="118" t="s">
        <v>685</v>
      </c>
      <c r="D17" s="119" t="s">
        <v>681</v>
      </c>
      <c r="E17" s="119" t="s">
        <v>686</v>
      </c>
      <c r="F17" s="117" t="s">
        <v>197</v>
      </c>
      <c r="G17" s="117" t="s">
        <v>671</v>
      </c>
      <c r="H17" s="117" t="s">
        <v>672</v>
      </c>
      <c r="I17" s="117"/>
      <c r="J17" s="117"/>
      <c r="K17" s="117"/>
      <c r="L17" s="117"/>
      <c r="M17" s="117"/>
      <c r="N17" s="117"/>
      <c r="O17" s="120" t="s">
        <v>673</v>
      </c>
    </row>
    <row r="18" spans="1:15" s="21" customFormat="1" ht="15.75" customHeight="1">
      <c r="A18" s="114" t="s">
        <v>687</v>
      </c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</row>
    <row r="19" spans="1:15" ht="93.95" customHeight="1" outlineLevel="1">
      <c r="A19" s="117" t="s">
        <v>688</v>
      </c>
      <c r="B19" s="118" t="s">
        <v>689</v>
      </c>
      <c r="C19" s="118" t="s">
        <v>690</v>
      </c>
      <c r="D19" s="119" t="s">
        <v>260</v>
      </c>
      <c r="E19" s="119" t="s">
        <v>686</v>
      </c>
      <c r="F19" s="117" t="s">
        <v>197</v>
      </c>
      <c r="G19" s="117" t="s">
        <v>671</v>
      </c>
      <c r="H19" s="117" t="s">
        <v>672</v>
      </c>
      <c r="I19" s="117"/>
      <c r="J19" s="117"/>
      <c r="K19" s="117"/>
      <c r="L19" s="117"/>
      <c r="M19" s="117"/>
      <c r="N19" s="117"/>
      <c r="O19" s="120" t="s">
        <v>673</v>
      </c>
    </row>
    <row r="20" spans="1:15" ht="138.94999999999999" customHeight="1">
      <c r="A20" s="117" t="s">
        <v>691</v>
      </c>
      <c r="B20" s="118" t="s">
        <v>692</v>
      </c>
      <c r="C20" s="118" t="s">
        <v>693</v>
      </c>
      <c r="D20" s="119" t="s">
        <v>242</v>
      </c>
      <c r="E20" s="119" t="s">
        <v>686</v>
      </c>
      <c r="F20" s="117" t="s">
        <v>197</v>
      </c>
      <c r="G20" s="117" t="s">
        <v>671</v>
      </c>
      <c r="H20" s="117" t="s">
        <v>672</v>
      </c>
      <c r="I20" s="117"/>
      <c r="J20" s="117"/>
      <c r="K20" s="117"/>
      <c r="L20" s="117"/>
      <c r="M20" s="117"/>
      <c r="N20" s="117"/>
      <c r="O20" s="120" t="s">
        <v>673</v>
      </c>
    </row>
    <row r="21" spans="1:15" ht="15.75" customHeight="1">
      <c r="A21" s="114" t="s">
        <v>694</v>
      </c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6"/>
    </row>
    <row r="22" spans="1:15" ht="93.95" customHeight="1">
      <c r="A22" s="117" t="s">
        <v>695</v>
      </c>
      <c r="B22" s="118" t="s">
        <v>696</v>
      </c>
      <c r="C22" s="118" t="s">
        <v>697</v>
      </c>
      <c r="D22" s="119" t="s">
        <v>681</v>
      </c>
      <c r="E22" s="119" t="s">
        <v>686</v>
      </c>
      <c r="F22" s="117" t="s">
        <v>197</v>
      </c>
      <c r="G22" s="117" t="s">
        <v>671</v>
      </c>
      <c r="H22" s="117" t="s">
        <v>672</v>
      </c>
      <c r="I22" s="117"/>
      <c r="J22" s="117"/>
      <c r="K22" s="117"/>
      <c r="L22" s="117"/>
      <c r="M22" s="117"/>
      <c r="N22" s="117"/>
      <c r="O22" s="120" t="s">
        <v>673</v>
      </c>
    </row>
    <row r="23" spans="1:15" ht="15.75" customHeight="1">
      <c r="A23" s="114" t="s">
        <v>698</v>
      </c>
      <c r="B23" s="114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6"/>
    </row>
    <row r="24" spans="1:15" ht="93.95" customHeight="1">
      <c r="A24" s="117" t="s">
        <v>699</v>
      </c>
      <c r="B24" s="118" t="s">
        <v>700</v>
      </c>
      <c r="C24" s="118" t="s">
        <v>701</v>
      </c>
      <c r="D24" s="119" t="s">
        <v>238</v>
      </c>
      <c r="E24" s="119" t="s">
        <v>686</v>
      </c>
      <c r="F24" s="117" t="s">
        <v>197</v>
      </c>
      <c r="G24" s="117" t="s">
        <v>671</v>
      </c>
      <c r="H24" s="117" t="s">
        <v>672</v>
      </c>
      <c r="I24" s="117"/>
      <c r="J24" s="117"/>
      <c r="K24" s="117"/>
      <c r="L24" s="117"/>
      <c r="M24" s="117"/>
      <c r="N24" s="117"/>
      <c r="O24" s="120" t="s">
        <v>673</v>
      </c>
    </row>
    <row r="25" spans="1:15" ht="138.94999999999999" customHeight="1">
      <c r="A25" s="117" t="s">
        <v>702</v>
      </c>
      <c r="B25" s="118" t="s">
        <v>703</v>
      </c>
      <c r="C25" s="118" t="s">
        <v>704</v>
      </c>
      <c r="D25" s="119" t="s">
        <v>242</v>
      </c>
      <c r="E25" s="119" t="s">
        <v>686</v>
      </c>
      <c r="F25" s="117" t="s">
        <v>197</v>
      </c>
      <c r="G25" s="117" t="s">
        <v>671</v>
      </c>
      <c r="H25" s="117" t="s">
        <v>672</v>
      </c>
      <c r="I25" s="117"/>
      <c r="J25" s="117"/>
      <c r="K25" s="117"/>
      <c r="L25" s="117"/>
      <c r="M25" s="117"/>
      <c r="N25" s="117"/>
      <c r="O25" s="120" t="s">
        <v>673</v>
      </c>
    </row>
    <row r="26" spans="1:15" ht="15.75" customHeight="1">
      <c r="A26" s="114" t="s">
        <v>705</v>
      </c>
      <c r="B26" s="114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</row>
    <row r="27" spans="1:15" ht="108.95" customHeight="1">
      <c r="A27" s="117" t="s">
        <v>706</v>
      </c>
      <c r="B27" s="118" t="s">
        <v>707</v>
      </c>
      <c r="C27" s="118" t="s">
        <v>708</v>
      </c>
      <c r="D27" s="119" t="s">
        <v>260</v>
      </c>
      <c r="E27" s="119" t="s">
        <v>686</v>
      </c>
      <c r="F27" s="117" t="s">
        <v>197</v>
      </c>
      <c r="G27" s="117" t="s">
        <v>671</v>
      </c>
      <c r="H27" s="117" t="s">
        <v>672</v>
      </c>
      <c r="I27" s="117"/>
      <c r="J27" s="117"/>
      <c r="K27" s="117"/>
      <c r="L27" s="117"/>
      <c r="M27" s="117"/>
      <c r="N27" s="117"/>
      <c r="O27" s="120" t="s">
        <v>673</v>
      </c>
    </row>
    <row r="28" spans="1:15" ht="138.94999999999999" customHeight="1">
      <c r="A28" s="117" t="s">
        <v>709</v>
      </c>
      <c r="B28" s="118" t="s">
        <v>710</v>
      </c>
      <c r="C28" s="118" t="s">
        <v>711</v>
      </c>
      <c r="D28" s="119" t="s">
        <v>242</v>
      </c>
      <c r="E28" s="119" t="s">
        <v>686</v>
      </c>
      <c r="F28" s="117" t="s">
        <v>197</v>
      </c>
      <c r="G28" s="117" t="s">
        <v>671</v>
      </c>
      <c r="H28" s="117" t="s">
        <v>672</v>
      </c>
      <c r="I28" s="117"/>
      <c r="J28" s="117"/>
      <c r="K28" s="117"/>
      <c r="L28" s="117"/>
      <c r="M28" s="117"/>
      <c r="N28" s="117"/>
      <c r="O28" s="120" t="s">
        <v>673</v>
      </c>
    </row>
    <row r="29" spans="1:15" ht="15.75" customHeight="1">
      <c r="A29" s="114" t="s">
        <v>712</v>
      </c>
      <c r="B29" s="114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6"/>
    </row>
    <row r="30" spans="1:15" ht="93.95" customHeight="1">
      <c r="A30" s="117" t="s">
        <v>713</v>
      </c>
      <c r="B30" s="118" t="s">
        <v>714</v>
      </c>
      <c r="C30" s="118" t="s">
        <v>715</v>
      </c>
      <c r="D30" s="119" t="s">
        <v>247</v>
      </c>
      <c r="E30" s="119" t="s">
        <v>686</v>
      </c>
      <c r="F30" s="117" t="s">
        <v>197</v>
      </c>
      <c r="G30" s="117" t="s">
        <v>671</v>
      </c>
      <c r="H30" s="117" t="s">
        <v>672</v>
      </c>
      <c r="I30" s="117"/>
      <c r="J30" s="117"/>
      <c r="K30" s="117"/>
      <c r="L30" s="117"/>
      <c r="M30" s="117"/>
      <c r="N30" s="117"/>
      <c r="O30" s="120" t="s">
        <v>673</v>
      </c>
    </row>
    <row r="31" spans="1:15" ht="138.94999999999999" customHeight="1">
      <c r="A31" s="117" t="s">
        <v>716</v>
      </c>
      <c r="B31" s="118" t="s">
        <v>717</v>
      </c>
      <c r="C31" s="118" t="s">
        <v>718</v>
      </c>
      <c r="D31" s="119" t="s">
        <v>242</v>
      </c>
      <c r="E31" s="119" t="s">
        <v>686</v>
      </c>
      <c r="F31" s="117" t="s">
        <v>197</v>
      </c>
      <c r="G31" s="117" t="s">
        <v>671</v>
      </c>
      <c r="H31" s="117" t="s">
        <v>672</v>
      </c>
      <c r="I31" s="117"/>
      <c r="J31" s="117"/>
      <c r="K31" s="117"/>
      <c r="L31" s="117"/>
      <c r="M31" s="117"/>
      <c r="N31" s="117"/>
      <c r="O31" s="120" t="s">
        <v>673</v>
      </c>
    </row>
    <row r="32" spans="1:15" ht="15.75" customHeight="1">
      <c r="A32" s="114" t="s">
        <v>719</v>
      </c>
      <c r="B32" s="114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6"/>
    </row>
    <row r="33" spans="1:15" ht="93.95" customHeight="1">
      <c r="A33" s="117" t="s">
        <v>720</v>
      </c>
      <c r="B33" s="118" t="s">
        <v>721</v>
      </c>
      <c r="C33" s="118" t="s">
        <v>722</v>
      </c>
      <c r="D33" s="119" t="s">
        <v>238</v>
      </c>
      <c r="E33" s="119" t="s">
        <v>686</v>
      </c>
      <c r="F33" s="117" t="s">
        <v>197</v>
      </c>
      <c r="G33" s="117" t="s">
        <v>671</v>
      </c>
      <c r="H33" s="117" t="s">
        <v>672</v>
      </c>
      <c r="I33" s="117"/>
      <c r="J33" s="117"/>
      <c r="K33" s="117"/>
      <c r="L33" s="117"/>
      <c r="M33" s="117"/>
      <c r="N33" s="117"/>
      <c r="O33" s="120" t="s">
        <v>673</v>
      </c>
    </row>
    <row r="34" spans="1:15" ht="138.94999999999999" customHeight="1">
      <c r="A34" s="117" t="s">
        <v>723</v>
      </c>
      <c r="B34" s="118" t="s">
        <v>724</v>
      </c>
      <c r="C34" s="118" t="s">
        <v>725</v>
      </c>
      <c r="D34" s="119" t="s">
        <v>242</v>
      </c>
      <c r="E34" s="119" t="s">
        <v>686</v>
      </c>
      <c r="F34" s="117" t="s">
        <v>197</v>
      </c>
      <c r="G34" s="117" t="s">
        <v>671</v>
      </c>
      <c r="H34" s="117" t="s">
        <v>672</v>
      </c>
      <c r="I34" s="117"/>
      <c r="J34" s="117"/>
      <c r="K34" s="117"/>
      <c r="L34" s="117"/>
      <c r="M34" s="117"/>
      <c r="N34" s="117"/>
      <c r="O34" s="120" t="s">
        <v>673</v>
      </c>
    </row>
    <row r="35" spans="1:15" ht="15.75" customHeight="1">
      <c r="A35" s="114" t="s">
        <v>726</v>
      </c>
      <c r="B35" s="114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6"/>
    </row>
    <row r="36" spans="1:15" ht="93.95" customHeight="1">
      <c r="A36" s="117" t="s">
        <v>727</v>
      </c>
      <c r="B36" s="118" t="s">
        <v>728</v>
      </c>
      <c r="C36" s="118" t="s">
        <v>729</v>
      </c>
      <c r="D36" s="119" t="s">
        <v>238</v>
      </c>
      <c r="E36" s="119" t="s">
        <v>686</v>
      </c>
      <c r="F36" s="117" t="s">
        <v>197</v>
      </c>
      <c r="G36" s="117" t="s">
        <v>671</v>
      </c>
      <c r="H36" s="117" t="s">
        <v>672</v>
      </c>
      <c r="I36" s="117"/>
      <c r="J36" s="117"/>
      <c r="K36" s="117"/>
      <c r="L36" s="117"/>
      <c r="M36" s="117"/>
      <c r="N36" s="117"/>
      <c r="O36" s="120" t="s">
        <v>673</v>
      </c>
    </row>
    <row r="37" spans="1:15" ht="138.94999999999999" customHeight="1">
      <c r="A37" s="117" t="s">
        <v>730</v>
      </c>
      <c r="B37" s="118" t="s">
        <v>731</v>
      </c>
      <c r="C37" s="118" t="s">
        <v>732</v>
      </c>
      <c r="D37" s="119" t="s">
        <v>242</v>
      </c>
      <c r="E37" s="119" t="s">
        <v>686</v>
      </c>
      <c r="F37" s="117" t="s">
        <v>197</v>
      </c>
      <c r="G37" s="117" t="s">
        <v>671</v>
      </c>
      <c r="H37" s="117" t="s">
        <v>672</v>
      </c>
      <c r="I37" s="117"/>
      <c r="J37" s="117"/>
      <c r="K37" s="117"/>
      <c r="L37" s="117"/>
      <c r="M37" s="117"/>
      <c r="N37" s="117"/>
      <c r="O37" s="120" t="s">
        <v>673</v>
      </c>
    </row>
    <row r="38" spans="1:15" ht="15.75" customHeight="1">
      <c r="A38" s="114" t="s">
        <v>733</v>
      </c>
      <c r="B38" s="114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6"/>
    </row>
    <row r="39" spans="1:15" ht="93.95" customHeight="1">
      <c r="A39" s="117" t="s">
        <v>734</v>
      </c>
      <c r="B39" s="118" t="s">
        <v>735</v>
      </c>
      <c r="C39" s="118" t="s">
        <v>736</v>
      </c>
      <c r="D39" s="119" t="s">
        <v>681</v>
      </c>
      <c r="E39" s="119" t="s">
        <v>686</v>
      </c>
      <c r="F39" s="117" t="s">
        <v>197</v>
      </c>
      <c r="G39" s="117" t="s">
        <v>671</v>
      </c>
      <c r="H39" s="117" t="s">
        <v>672</v>
      </c>
      <c r="I39" s="117"/>
      <c r="J39" s="117"/>
      <c r="K39" s="117"/>
      <c r="L39" s="117"/>
      <c r="M39" s="117"/>
      <c r="N39" s="117"/>
      <c r="O39" s="120" t="s">
        <v>673</v>
      </c>
    </row>
    <row r="40" spans="1:15" ht="15.75" customHeight="1">
      <c r="A40" s="114" t="s">
        <v>737</v>
      </c>
      <c r="B40" s="114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1" spans="1:15" ht="93.95" customHeight="1">
      <c r="A41" s="117" t="s">
        <v>738</v>
      </c>
      <c r="B41" s="118" t="s">
        <v>739</v>
      </c>
      <c r="C41" s="118" t="s">
        <v>740</v>
      </c>
      <c r="D41" s="119" t="s">
        <v>238</v>
      </c>
      <c r="E41" s="119" t="s">
        <v>686</v>
      </c>
      <c r="F41" s="117" t="s">
        <v>197</v>
      </c>
      <c r="G41" s="117" t="s">
        <v>671</v>
      </c>
      <c r="H41" s="117" t="s">
        <v>672</v>
      </c>
      <c r="I41" s="117"/>
      <c r="J41" s="117"/>
      <c r="K41" s="117"/>
      <c r="L41" s="117"/>
      <c r="M41" s="117"/>
      <c r="N41" s="117"/>
      <c r="O41" s="120" t="s">
        <v>673</v>
      </c>
    </row>
    <row r="42" spans="1:15" ht="138.94999999999999" customHeight="1">
      <c r="A42" s="117" t="s">
        <v>741</v>
      </c>
      <c r="B42" s="118" t="s">
        <v>742</v>
      </c>
      <c r="C42" s="118" t="s">
        <v>743</v>
      </c>
      <c r="D42" s="119" t="s">
        <v>242</v>
      </c>
      <c r="E42" s="119" t="s">
        <v>686</v>
      </c>
      <c r="F42" s="117" t="s">
        <v>197</v>
      </c>
      <c r="G42" s="117" t="s">
        <v>671</v>
      </c>
      <c r="H42" s="117" t="s">
        <v>672</v>
      </c>
      <c r="I42" s="117"/>
      <c r="J42" s="117"/>
      <c r="K42" s="117"/>
      <c r="L42" s="117"/>
      <c r="M42" s="117"/>
      <c r="N42" s="117"/>
      <c r="O42" s="120" t="s">
        <v>673</v>
      </c>
    </row>
    <row r="43" spans="1:15" ht="15.75" customHeight="1">
      <c r="A43" s="114" t="s">
        <v>744</v>
      </c>
      <c r="B43" s="114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6"/>
    </row>
    <row r="44" spans="1:15" ht="93.95" customHeight="1">
      <c r="A44" s="117" t="s">
        <v>745</v>
      </c>
      <c r="B44" s="118" t="s">
        <v>746</v>
      </c>
      <c r="C44" s="118" t="s">
        <v>747</v>
      </c>
      <c r="D44" s="119" t="s">
        <v>238</v>
      </c>
      <c r="E44" s="119" t="s">
        <v>686</v>
      </c>
      <c r="F44" s="117" t="s">
        <v>197</v>
      </c>
      <c r="G44" s="117" t="s">
        <v>671</v>
      </c>
      <c r="H44" s="117" t="s">
        <v>672</v>
      </c>
      <c r="I44" s="117"/>
      <c r="J44" s="117"/>
      <c r="K44" s="117"/>
      <c r="L44" s="117"/>
      <c r="M44" s="117"/>
      <c r="N44" s="117"/>
      <c r="O44" s="120" t="s">
        <v>673</v>
      </c>
    </row>
    <row r="45" spans="1:15" ht="138.94999999999999" customHeight="1">
      <c r="A45" s="117" t="s">
        <v>748</v>
      </c>
      <c r="B45" s="118" t="s">
        <v>749</v>
      </c>
      <c r="C45" s="118" t="s">
        <v>750</v>
      </c>
      <c r="D45" s="119" t="s">
        <v>242</v>
      </c>
      <c r="E45" s="119" t="s">
        <v>686</v>
      </c>
      <c r="F45" s="117" t="s">
        <v>197</v>
      </c>
      <c r="G45" s="117" t="s">
        <v>671</v>
      </c>
      <c r="H45" s="117" t="s">
        <v>672</v>
      </c>
      <c r="I45" s="117"/>
      <c r="J45" s="117"/>
      <c r="K45" s="117"/>
      <c r="L45" s="117"/>
      <c r="M45" s="117"/>
      <c r="N45" s="117"/>
      <c r="O45" s="120" t="s">
        <v>673</v>
      </c>
    </row>
    <row r="46" spans="1:15" ht="15.75" customHeight="1">
      <c r="A46" s="114" t="s">
        <v>751</v>
      </c>
      <c r="B46" s="114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6"/>
    </row>
    <row r="47" spans="1:15" ht="93.95" customHeight="1">
      <c r="A47" s="117" t="s">
        <v>752</v>
      </c>
      <c r="B47" s="118" t="s">
        <v>753</v>
      </c>
      <c r="C47" s="118" t="s">
        <v>754</v>
      </c>
      <c r="D47" s="119" t="s">
        <v>681</v>
      </c>
      <c r="E47" s="119" t="s">
        <v>670</v>
      </c>
      <c r="F47" s="117" t="s">
        <v>197</v>
      </c>
      <c r="G47" s="117" t="s">
        <v>671</v>
      </c>
      <c r="H47" s="117" t="s">
        <v>672</v>
      </c>
      <c r="I47" s="117"/>
      <c r="J47" s="117"/>
      <c r="K47" s="117"/>
      <c r="L47" s="117"/>
      <c r="M47" s="117"/>
      <c r="N47" s="117"/>
      <c r="O47" s="120" t="s">
        <v>673</v>
      </c>
    </row>
    <row r="48" spans="1:15" ht="15.75" customHeight="1">
      <c r="A48" s="114" t="s">
        <v>755</v>
      </c>
      <c r="B48" s="114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6"/>
    </row>
    <row r="49" spans="1:15" ht="93.95" customHeight="1">
      <c r="A49" s="117" t="s">
        <v>756</v>
      </c>
      <c r="B49" s="118" t="s">
        <v>757</v>
      </c>
      <c r="C49" s="118" t="s">
        <v>758</v>
      </c>
      <c r="D49" s="119" t="s">
        <v>681</v>
      </c>
      <c r="E49" s="119" t="s">
        <v>686</v>
      </c>
      <c r="F49" s="117" t="s">
        <v>197</v>
      </c>
      <c r="G49" s="117" t="s">
        <v>671</v>
      </c>
      <c r="H49" s="117" t="s">
        <v>672</v>
      </c>
      <c r="I49" s="117"/>
      <c r="J49" s="117"/>
      <c r="K49" s="117"/>
      <c r="L49" s="117"/>
      <c r="M49" s="117"/>
      <c r="N49" s="117"/>
      <c r="O49" s="120" t="s">
        <v>673</v>
      </c>
    </row>
    <row r="50" spans="1:15" ht="15.75" customHeight="1">
      <c r="A50" s="114" t="s">
        <v>759</v>
      </c>
      <c r="B50" s="114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6"/>
    </row>
    <row r="51" spans="1:15" ht="93.95" customHeight="1">
      <c r="A51" s="117" t="s">
        <v>760</v>
      </c>
      <c r="B51" s="118" t="s">
        <v>761</v>
      </c>
      <c r="C51" s="118" t="s">
        <v>762</v>
      </c>
      <c r="D51" s="119" t="s">
        <v>238</v>
      </c>
      <c r="E51" s="119" t="s">
        <v>670</v>
      </c>
      <c r="F51" s="117" t="s">
        <v>197</v>
      </c>
      <c r="G51" s="117" t="s">
        <v>671</v>
      </c>
      <c r="H51" s="117" t="s">
        <v>672</v>
      </c>
      <c r="I51" s="117"/>
      <c r="J51" s="117"/>
      <c r="K51" s="117"/>
      <c r="L51" s="117"/>
      <c r="M51" s="117"/>
      <c r="N51" s="117"/>
      <c r="O51" s="120" t="s">
        <v>673</v>
      </c>
    </row>
    <row r="52" spans="1:15" ht="138.94999999999999" customHeight="1">
      <c r="A52" s="117" t="s">
        <v>763</v>
      </c>
      <c r="B52" s="118" t="s">
        <v>764</v>
      </c>
      <c r="C52" s="118" t="s">
        <v>765</v>
      </c>
      <c r="D52" s="119" t="s">
        <v>242</v>
      </c>
      <c r="E52" s="119" t="s">
        <v>670</v>
      </c>
      <c r="F52" s="117" t="s">
        <v>197</v>
      </c>
      <c r="G52" s="117" t="s">
        <v>671</v>
      </c>
      <c r="H52" s="117" t="s">
        <v>672</v>
      </c>
      <c r="I52" s="117"/>
      <c r="J52" s="117"/>
      <c r="K52" s="117"/>
      <c r="L52" s="117"/>
      <c r="M52" s="117"/>
      <c r="N52" s="117"/>
      <c r="O52" s="120" t="s">
        <v>673</v>
      </c>
    </row>
    <row r="53" spans="1:15" ht="15.75" customHeight="1">
      <c r="A53" s="114" t="s">
        <v>766</v>
      </c>
      <c r="B53" s="114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6"/>
    </row>
    <row r="54" spans="1:15" ht="93.95" customHeight="1">
      <c r="A54" s="117" t="s">
        <v>767</v>
      </c>
      <c r="B54" s="118" t="s">
        <v>768</v>
      </c>
      <c r="C54" s="118" t="s">
        <v>769</v>
      </c>
      <c r="D54" s="119" t="s">
        <v>260</v>
      </c>
      <c r="E54" s="119" t="s">
        <v>686</v>
      </c>
      <c r="F54" s="117" t="s">
        <v>197</v>
      </c>
      <c r="G54" s="117" t="s">
        <v>671</v>
      </c>
      <c r="H54" s="117" t="s">
        <v>672</v>
      </c>
      <c r="I54" s="117"/>
      <c r="J54" s="117"/>
      <c r="K54" s="117"/>
      <c r="L54" s="117"/>
      <c r="M54" s="117"/>
      <c r="N54" s="117"/>
      <c r="O54" s="120" t="s">
        <v>673</v>
      </c>
    </row>
    <row r="55" spans="1:15" ht="138.94999999999999" customHeight="1">
      <c r="A55" s="117" t="s">
        <v>770</v>
      </c>
      <c r="B55" s="118" t="s">
        <v>771</v>
      </c>
      <c r="C55" s="118" t="s">
        <v>772</v>
      </c>
      <c r="D55" s="119" t="s">
        <v>242</v>
      </c>
      <c r="E55" s="119" t="s">
        <v>686</v>
      </c>
      <c r="F55" s="117" t="s">
        <v>197</v>
      </c>
      <c r="G55" s="117" t="s">
        <v>671</v>
      </c>
      <c r="H55" s="117" t="s">
        <v>672</v>
      </c>
      <c r="I55" s="117"/>
      <c r="J55" s="117"/>
      <c r="K55" s="117"/>
      <c r="L55" s="117"/>
      <c r="M55" s="117"/>
      <c r="N55" s="117"/>
      <c r="O55" s="120" t="s">
        <v>673</v>
      </c>
    </row>
    <row r="56" spans="1:15" ht="15.75" customHeight="1">
      <c r="A56" s="114" t="s">
        <v>773</v>
      </c>
      <c r="B56" s="114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6"/>
    </row>
    <row r="57" spans="1:15" ht="93.95" customHeight="1">
      <c r="A57" s="117" t="s">
        <v>774</v>
      </c>
      <c r="B57" s="118" t="s">
        <v>775</v>
      </c>
      <c r="C57" s="118" t="s">
        <v>776</v>
      </c>
      <c r="D57" s="119" t="s">
        <v>260</v>
      </c>
      <c r="E57" s="119" t="s">
        <v>670</v>
      </c>
      <c r="F57" s="117" t="s">
        <v>197</v>
      </c>
      <c r="G57" s="117" t="s">
        <v>671</v>
      </c>
      <c r="H57" s="117" t="s">
        <v>672</v>
      </c>
      <c r="I57" s="117"/>
      <c r="J57" s="117"/>
      <c r="K57" s="117"/>
      <c r="L57" s="117"/>
      <c r="M57" s="117"/>
      <c r="N57" s="117"/>
      <c r="O57" s="120" t="s">
        <v>673</v>
      </c>
    </row>
    <row r="58" spans="1:15" ht="138.94999999999999" customHeight="1">
      <c r="A58" s="117" t="s">
        <v>777</v>
      </c>
      <c r="B58" s="118" t="s">
        <v>778</v>
      </c>
      <c r="C58" s="118" t="s">
        <v>779</v>
      </c>
      <c r="D58" s="119" t="s">
        <v>242</v>
      </c>
      <c r="E58" s="119" t="s">
        <v>670</v>
      </c>
      <c r="F58" s="117" t="s">
        <v>197</v>
      </c>
      <c r="G58" s="117" t="s">
        <v>671</v>
      </c>
      <c r="H58" s="117" t="s">
        <v>672</v>
      </c>
      <c r="I58" s="117"/>
      <c r="J58" s="117"/>
      <c r="K58" s="117"/>
      <c r="L58" s="117"/>
      <c r="M58" s="117"/>
      <c r="N58" s="117"/>
      <c r="O58" s="120" t="s">
        <v>673</v>
      </c>
    </row>
    <row r="59" spans="1:15" ht="15.75" customHeight="1">
      <c r="A59" s="114" t="s">
        <v>780</v>
      </c>
      <c r="B59" s="114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6"/>
    </row>
    <row r="60" spans="1:15" ht="93.95" customHeight="1">
      <c r="A60" s="117" t="s">
        <v>781</v>
      </c>
      <c r="B60" s="118" t="s">
        <v>782</v>
      </c>
      <c r="C60" s="118" t="s">
        <v>783</v>
      </c>
      <c r="D60" s="119" t="s">
        <v>681</v>
      </c>
      <c r="E60" s="119" t="s">
        <v>686</v>
      </c>
      <c r="F60" s="117" t="s">
        <v>197</v>
      </c>
      <c r="G60" s="117" t="s">
        <v>671</v>
      </c>
      <c r="H60" s="117" t="s">
        <v>672</v>
      </c>
      <c r="I60" s="117"/>
      <c r="J60" s="117"/>
      <c r="K60" s="117"/>
      <c r="L60" s="117"/>
      <c r="M60" s="117"/>
      <c r="N60" s="117"/>
      <c r="O60" s="120" t="s">
        <v>673</v>
      </c>
    </row>
    <row r="61" spans="1:15" ht="15.75" customHeight="1">
      <c r="A61" s="114" t="s">
        <v>784</v>
      </c>
      <c r="B61" s="114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6"/>
    </row>
    <row r="62" spans="1:15" ht="93.95" customHeight="1">
      <c r="A62" s="117" t="s">
        <v>785</v>
      </c>
      <c r="B62" s="118" t="s">
        <v>786</v>
      </c>
      <c r="C62" s="118" t="s">
        <v>787</v>
      </c>
      <c r="D62" s="119" t="s">
        <v>260</v>
      </c>
      <c r="E62" s="119" t="s">
        <v>686</v>
      </c>
      <c r="F62" s="117" t="s">
        <v>197</v>
      </c>
      <c r="G62" s="117" t="s">
        <v>671</v>
      </c>
      <c r="H62" s="117" t="s">
        <v>672</v>
      </c>
      <c r="I62" s="117"/>
      <c r="J62" s="117"/>
      <c r="K62" s="117"/>
      <c r="L62" s="117"/>
      <c r="M62" s="117"/>
      <c r="N62" s="117"/>
      <c r="O62" s="120" t="s">
        <v>673</v>
      </c>
    </row>
    <row r="63" spans="1:15" ht="138.94999999999999" customHeight="1">
      <c r="A63" s="117" t="s">
        <v>788</v>
      </c>
      <c r="B63" s="118" t="s">
        <v>789</v>
      </c>
      <c r="C63" s="118" t="s">
        <v>790</v>
      </c>
      <c r="D63" s="119" t="s">
        <v>242</v>
      </c>
      <c r="E63" s="119" t="s">
        <v>686</v>
      </c>
      <c r="F63" s="117" t="s">
        <v>197</v>
      </c>
      <c r="G63" s="117" t="s">
        <v>671</v>
      </c>
      <c r="H63" s="117" t="s">
        <v>672</v>
      </c>
      <c r="I63" s="117"/>
      <c r="J63" s="117"/>
      <c r="K63" s="117"/>
      <c r="L63" s="117"/>
      <c r="M63" s="117"/>
      <c r="N63" s="117"/>
      <c r="O63" s="120" t="s">
        <v>673</v>
      </c>
    </row>
    <row r="64" spans="1:15" ht="15.75" customHeight="1">
      <c r="A64" s="114" t="s">
        <v>791</v>
      </c>
      <c r="B64" s="114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6"/>
    </row>
    <row r="65" spans="1:15" ht="93.95" customHeight="1">
      <c r="A65" s="117" t="s">
        <v>792</v>
      </c>
      <c r="B65" s="118" t="s">
        <v>793</v>
      </c>
      <c r="C65" s="118" t="s">
        <v>794</v>
      </c>
      <c r="D65" s="119" t="s">
        <v>238</v>
      </c>
      <c r="E65" s="119" t="s">
        <v>686</v>
      </c>
      <c r="F65" s="117" t="s">
        <v>197</v>
      </c>
      <c r="G65" s="117" t="s">
        <v>671</v>
      </c>
      <c r="H65" s="117" t="s">
        <v>672</v>
      </c>
      <c r="I65" s="117"/>
      <c r="J65" s="117"/>
      <c r="K65" s="117"/>
      <c r="L65" s="117"/>
      <c r="M65" s="117"/>
      <c r="N65" s="117"/>
      <c r="O65" s="120" t="s">
        <v>673</v>
      </c>
    </row>
    <row r="66" spans="1:15" ht="138.94999999999999" customHeight="1">
      <c r="A66" s="117" t="s">
        <v>795</v>
      </c>
      <c r="B66" s="118" t="s">
        <v>796</v>
      </c>
      <c r="C66" s="118" t="s">
        <v>797</v>
      </c>
      <c r="D66" s="119" t="s">
        <v>242</v>
      </c>
      <c r="E66" s="119" t="s">
        <v>686</v>
      </c>
      <c r="F66" s="117" t="s">
        <v>197</v>
      </c>
      <c r="G66" s="117" t="s">
        <v>671</v>
      </c>
      <c r="H66" s="117" t="s">
        <v>672</v>
      </c>
      <c r="I66" s="117"/>
      <c r="J66" s="117"/>
      <c r="K66" s="117"/>
      <c r="L66" s="117"/>
      <c r="M66" s="117"/>
      <c r="N66" s="117"/>
      <c r="O66" s="120" t="s">
        <v>673</v>
      </c>
    </row>
    <row r="67" spans="1:15" ht="15.75" customHeight="1">
      <c r="A67" s="114" t="s">
        <v>798</v>
      </c>
      <c r="B67" s="114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6"/>
    </row>
    <row r="68" spans="1:15" ht="93.95" customHeight="1">
      <c r="A68" s="117" t="s">
        <v>799</v>
      </c>
      <c r="B68" s="118" t="s">
        <v>800</v>
      </c>
      <c r="C68" s="118" t="s">
        <v>801</v>
      </c>
      <c r="D68" s="119" t="s">
        <v>681</v>
      </c>
      <c r="E68" s="119" t="s">
        <v>686</v>
      </c>
      <c r="F68" s="117" t="s">
        <v>197</v>
      </c>
      <c r="G68" s="117" t="s">
        <v>671</v>
      </c>
      <c r="H68" s="117" t="s">
        <v>672</v>
      </c>
      <c r="I68" s="117"/>
      <c r="J68" s="117"/>
      <c r="K68" s="117"/>
      <c r="L68" s="117"/>
      <c r="M68" s="117"/>
      <c r="N68" s="117"/>
      <c r="O68" s="120" t="s">
        <v>673</v>
      </c>
    </row>
    <row r="69" spans="1:15" ht="15.75" customHeight="1">
      <c r="A69" s="114" t="s">
        <v>293</v>
      </c>
      <c r="B69" s="114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6"/>
    </row>
    <row r="70" spans="1:15" ht="93.95" customHeight="1">
      <c r="A70" s="117" t="s">
        <v>802</v>
      </c>
      <c r="B70" s="118" t="s">
        <v>803</v>
      </c>
      <c r="C70" s="118" t="s">
        <v>804</v>
      </c>
      <c r="D70" s="119" t="s">
        <v>805</v>
      </c>
      <c r="E70" s="119" t="s">
        <v>806</v>
      </c>
      <c r="F70" s="117" t="s">
        <v>197</v>
      </c>
      <c r="G70" s="117" t="s">
        <v>671</v>
      </c>
      <c r="H70" s="117" t="s">
        <v>672</v>
      </c>
      <c r="I70" s="117"/>
      <c r="J70" s="117"/>
      <c r="K70" s="117"/>
      <c r="L70" s="117"/>
      <c r="M70" s="117"/>
      <c r="N70" s="117"/>
      <c r="O70" s="120" t="s">
        <v>673</v>
      </c>
    </row>
    <row r="71" spans="1:15" ht="108.95" customHeight="1">
      <c r="A71" s="117" t="s">
        <v>807</v>
      </c>
      <c r="B71" s="118" t="s">
        <v>808</v>
      </c>
      <c r="C71" s="118" t="s">
        <v>809</v>
      </c>
      <c r="D71" s="119" t="s">
        <v>810</v>
      </c>
      <c r="E71" s="119" t="s">
        <v>811</v>
      </c>
      <c r="F71" s="117" t="s">
        <v>197</v>
      </c>
      <c r="G71" s="117" t="s">
        <v>671</v>
      </c>
      <c r="H71" s="117" t="s">
        <v>672</v>
      </c>
      <c r="I71" s="117"/>
      <c r="J71" s="117"/>
      <c r="K71" s="117"/>
      <c r="L71" s="117"/>
      <c r="M71" s="117"/>
      <c r="N71" s="117"/>
      <c r="O71" s="120" t="s">
        <v>673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0B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57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59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5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0</v>
      </c>
      <c r="C6" s="60">
        <f>COUNTIF($F$11:$F$2000,C$5)</f>
        <v>0</v>
      </c>
      <c r="D6" s="60">
        <f>COUNTIF($F$11:$F$2000,D$5)</f>
        <v>5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812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813</v>
      </c>
      <c r="B12" s="118" t="s">
        <v>814</v>
      </c>
      <c r="C12" s="118" t="s">
        <v>815</v>
      </c>
      <c r="D12" s="119" t="s">
        <v>238</v>
      </c>
      <c r="E12" s="119" t="s">
        <v>686</v>
      </c>
      <c r="F12" s="117" t="s">
        <v>199</v>
      </c>
      <c r="G12" s="117"/>
      <c r="H12" s="117" t="s">
        <v>672</v>
      </c>
      <c r="I12" s="117"/>
      <c r="J12" s="117"/>
      <c r="K12" s="117"/>
      <c r="L12" s="117"/>
      <c r="M12" s="117"/>
      <c r="N12" s="117"/>
      <c r="O12" s="120" t="s">
        <v>816</v>
      </c>
    </row>
    <row r="13" spans="1:18" ht="138.94999999999999" customHeight="1" outlineLevel="1">
      <c r="A13" s="117" t="s">
        <v>817</v>
      </c>
      <c r="B13" s="118" t="s">
        <v>818</v>
      </c>
      <c r="C13" s="118" t="s">
        <v>819</v>
      </c>
      <c r="D13" s="119" t="s">
        <v>242</v>
      </c>
      <c r="E13" s="119" t="s">
        <v>686</v>
      </c>
      <c r="F13" s="117" t="s">
        <v>199</v>
      </c>
      <c r="G13" s="117"/>
      <c r="H13" s="117" t="s">
        <v>672</v>
      </c>
      <c r="I13" s="117"/>
      <c r="J13" s="117"/>
      <c r="K13" s="117"/>
      <c r="L13" s="117"/>
      <c r="M13" s="117"/>
      <c r="N13" s="117"/>
      <c r="O13" s="120" t="s">
        <v>816</v>
      </c>
    </row>
    <row r="14" spans="1:18" ht="15.75" customHeight="1" outlineLevel="1">
      <c r="A14" s="114" t="s">
        <v>820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93.95" customHeight="1">
      <c r="A15" s="117" t="s">
        <v>821</v>
      </c>
      <c r="B15" s="118" t="s">
        <v>822</v>
      </c>
      <c r="C15" s="118" t="s">
        <v>823</v>
      </c>
      <c r="D15" s="119" t="s">
        <v>681</v>
      </c>
      <c r="E15" s="119" t="s">
        <v>686</v>
      </c>
      <c r="F15" s="117" t="s">
        <v>199</v>
      </c>
      <c r="G15" s="117"/>
      <c r="H15" s="117" t="s">
        <v>672</v>
      </c>
      <c r="I15" s="117"/>
      <c r="J15" s="117"/>
      <c r="K15" s="117"/>
      <c r="L15" s="117"/>
      <c r="M15" s="117"/>
      <c r="N15" s="117"/>
      <c r="O15" s="120" t="s">
        <v>816</v>
      </c>
    </row>
    <row r="16" spans="1:18" ht="15.75" customHeight="1" outlineLevel="1">
      <c r="A16" s="114" t="s">
        <v>293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93.95" customHeight="1" outlineLevel="1">
      <c r="A17" s="117" t="s">
        <v>824</v>
      </c>
      <c r="B17" s="118" t="s">
        <v>803</v>
      </c>
      <c r="C17" s="118" t="s">
        <v>825</v>
      </c>
      <c r="D17" s="119" t="s">
        <v>805</v>
      </c>
      <c r="E17" s="119" t="s">
        <v>806</v>
      </c>
      <c r="F17" s="117" t="s">
        <v>199</v>
      </c>
      <c r="G17" s="117"/>
      <c r="H17" s="117" t="s">
        <v>672</v>
      </c>
      <c r="I17" s="117"/>
      <c r="J17" s="117"/>
      <c r="K17" s="117"/>
      <c r="L17" s="117"/>
      <c r="M17" s="117"/>
      <c r="N17" s="117"/>
      <c r="O17" s="120" t="s">
        <v>534</v>
      </c>
    </row>
    <row r="18" spans="1:15" s="21" customFormat="1" ht="108.95" customHeight="1">
      <c r="A18" s="117" t="s">
        <v>826</v>
      </c>
      <c r="B18" s="118" t="s">
        <v>808</v>
      </c>
      <c r="C18" s="118" t="s">
        <v>827</v>
      </c>
      <c r="D18" s="119" t="s">
        <v>810</v>
      </c>
      <c r="E18" s="119" t="s">
        <v>811</v>
      </c>
      <c r="F18" s="117" t="s">
        <v>199</v>
      </c>
      <c r="G18" s="117"/>
      <c r="H18" s="117" t="s">
        <v>672</v>
      </c>
      <c r="I18" s="117"/>
      <c r="J18" s="117"/>
      <c r="K18" s="117"/>
      <c r="L18" s="117"/>
      <c r="M18" s="117"/>
      <c r="N18" s="117"/>
      <c r="O18" s="120" t="s">
        <v>534</v>
      </c>
    </row>
    <row r="19" spans="1:15" ht="14.1" customHeight="1" outlineLevel="1"/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0C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60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62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0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0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/>
    <row r="12" spans="1:18" s="35" customFormat="1" ht="120.95" customHeight="1" outlineLevel="1"/>
    <row r="13" spans="1:18" ht="14.1" customHeight="1" outlineLevel="1"/>
    <row r="14" spans="1:18" ht="14.1" customHeight="1" outlineLevel="1"/>
    <row r="15" spans="1:18" s="21" customFormat="1" ht="15.75" customHeight="1"/>
    <row r="16" spans="1:18" ht="14.1" customHeight="1" outlineLevel="1"/>
    <row r="17" ht="14.1" customHeight="1" outlineLevel="1"/>
    <row r="18" s="21" customFormat="1" ht="15.75" customHeight="1"/>
    <row r="19" ht="14.1" customHeight="1" outlineLevel="1"/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0D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63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65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5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5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733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828</v>
      </c>
      <c r="B12" s="118" t="s">
        <v>735</v>
      </c>
      <c r="C12" s="118" t="s">
        <v>829</v>
      </c>
      <c r="D12" s="119" t="s">
        <v>681</v>
      </c>
      <c r="E12" s="119" t="s">
        <v>830</v>
      </c>
      <c r="F12" s="117" t="s">
        <v>197</v>
      </c>
      <c r="G12" s="117" t="s">
        <v>671</v>
      </c>
      <c r="H12" s="117" t="s">
        <v>672</v>
      </c>
      <c r="I12" s="117"/>
      <c r="J12" s="117"/>
      <c r="K12" s="117"/>
      <c r="L12" s="117"/>
      <c r="M12" s="117"/>
      <c r="N12" s="117"/>
      <c r="O12" s="120" t="s">
        <v>831</v>
      </c>
    </row>
    <row r="13" spans="1:18" ht="15.75" customHeight="1" outlineLevel="1">
      <c r="A13" s="114" t="s">
        <v>744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93.95" customHeight="1" outlineLevel="1">
      <c r="A14" s="117" t="s">
        <v>832</v>
      </c>
      <c r="B14" s="118" t="s">
        <v>746</v>
      </c>
      <c r="C14" s="118" t="s">
        <v>833</v>
      </c>
      <c r="D14" s="119" t="s">
        <v>238</v>
      </c>
      <c r="E14" s="119" t="s">
        <v>830</v>
      </c>
      <c r="F14" s="117" t="s">
        <v>197</v>
      </c>
      <c r="G14" s="117" t="s">
        <v>671</v>
      </c>
      <c r="H14" s="117" t="s">
        <v>672</v>
      </c>
      <c r="I14" s="117"/>
      <c r="J14" s="117"/>
      <c r="K14" s="117"/>
      <c r="L14" s="117"/>
      <c r="M14" s="117"/>
      <c r="N14" s="117"/>
      <c r="O14" s="120" t="s">
        <v>831</v>
      </c>
    </row>
    <row r="15" spans="1:18" s="21" customFormat="1" ht="138.94999999999999" customHeight="1">
      <c r="A15" s="117" t="s">
        <v>834</v>
      </c>
      <c r="B15" s="118" t="s">
        <v>749</v>
      </c>
      <c r="C15" s="118" t="s">
        <v>835</v>
      </c>
      <c r="D15" s="119" t="s">
        <v>242</v>
      </c>
      <c r="E15" s="119" t="s">
        <v>830</v>
      </c>
      <c r="F15" s="117" t="s">
        <v>197</v>
      </c>
      <c r="G15" s="117" t="s">
        <v>671</v>
      </c>
      <c r="H15" s="117" t="s">
        <v>672</v>
      </c>
      <c r="I15" s="117"/>
      <c r="J15" s="117"/>
      <c r="K15" s="117"/>
      <c r="L15" s="117"/>
      <c r="M15" s="117"/>
      <c r="N15" s="117"/>
      <c r="O15" s="120" t="s">
        <v>831</v>
      </c>
    </row>
    <row r="16" spans="1:18" ht="15.75" customHeight="1" outlineLevel="1">
      <c r="A16" s="114" t="s">
        <v>293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93.95" customHeight="1" outlineLevel="1">
      <c r="A17" s="117" t="s">
        <v>836</v>
      </c>
      <c r="B17" s="118" t="s">
        <v>803</v>
      </c>
      <c r="C17" s="118" t="s">
        <v>837</v>
      </c>
      <c r="D17" s="119" t="s">
        <v>805</v>
      </c>
      <c r="E17" s="119" t="s">
        <v>806</v>
      </c>
      <c r="F17" s="117" t="s">
        <v>197</v>
      </c>
      <c r="G17" s="117" t="s">
        <v>671</v>
      </c>
      <c r="H17" s="117" t="s">
        <v>672</v>
      </c>
      <c r="I17" s="117"/>
      <c r="J17" s="117"/>
      <c r="K17" s="117"/>
      <c r="L17" s="117"/>
      <c r="M17" s="117"/>
      <c r="N17" s="117"/>
      <c r="O17" s="120" t="s">
        <v>831</v>
      </c>
    </row>
    <row r="18" spans="1:15" s="21" customFormat="1" ht="108.95" customHeight="1">
      <c r="A18" s="117" t="s">
        <v>838</v>
      </c>
      <c r="B18" s="118" t="s">
        <v>808</v>
      </c>
      <c r="C18" s="118" t="s">
        <v>839</v>
      </c>
      <c r="D18" s="119" t="s">
        <v>810</v>
      </c>
      <c r="E18" s="119" t="s">
        <v>811</v>
      </c>
      <c r="F18" s="117" t="s">
        <v>197</v>
      </c>
      <c r="G18" s="117" t="s">
        <v>671</v>
      </c>
      <c r="H18" s="117" t="s">
        <v>672</v>
      </c>
      <c r="I18" s="117"/>
      <c r="J18" s="117"/>
      <c r="K18" s="117"/>
      <c r="L18" s="117"/>
      <c r="M18" s="117"/>
      <c r="N18" s="117"/>
      <c r="O18" s="120" t="s">
        <v>831</v>
      </c>
    </row>
    <row r="19" spans="1:15" ht="14.1" customHeight="1" outlineLevel="1"/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0E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R21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67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69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7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4</v>
      </c>
      <c r="C6" s="60">
        <f>COUNTIF($F$11:$F$2000,C$5)</f>
        <v>0</v>
      </c>
      <c r="D6" s="60">
        <f>COUNTIF($F$11:$F$2000,D$5)</f>
        <v>3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840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841</v>
      </c>
      <c r="B12" s="118" t="s">
        <v>842</v>
      </c>
      <c r="C12" s="118" t="s">
        <v>843</v>
      </c>
      <c r="D12" s="119" t="s">
        <v>238</v>
      </c>
      <c r="E12" s="119" t="s">
        <v>686</v>
      </c>
      <c r="F12" s="117" t="s">
        <v>199</v>
      </c>
      <c r="G12" s="117"/>
      <c r="H12" s="117" t="s">
        <v>672</v>
      </c>
      <c r="I12" s="117"/>
      <c r="J12" s="117"/>
      <c r="K12" s="117"/>
      <c r="L12" s="117"/>
      <c r="M12" s="117"/>
      <c r="N12" s="117"/>
      <c r="O12" s="120" t="s">
        <v>816</v>
      </c>
    </row>
    <row r="13" spans="1:18" ht="138.94999999999999" customHeight="1" outlineLevel="1">
      <c r="A13" s="117" t="s">
        <v>844</v>
      </c>
      <c r="B13" s="118" t="s">
        <v>845</v>
      </c>
      <c r="C13" s="118" t="s">
        <v>846</v>
      </c>
      <c r="D13" s="119" t="s">
        <v>242</v>
      </c>
      <c r="E13" s="119" t="s">
        <v>686</v>
      </c>
      <c r="F13" s="117" t="s">
        <v>199</v>
      </c>
      <c r="G13" s="117"/>
      <c r="H13" s="117" t="s">
        <v>672</v>
      </c>
      <c r="I13" s="117"/>
      <c r="J13" s="117"/>
      <c r="K13" s="117"/>
      <c r="L13" s="117"/>
      <c r="M13" s="117"/>
      <c r="N13" s="117"/>
      <c r="O13" s="120" t="s">
        <v>816</v>
      </c>
    </row>
    <row r="14" spans="1:18" ht="15.75" customHeight="1" outlineLevel="1">
      <c r="A14" s="114" t="s">
        <v>847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93.95" customHeight="1">
      <c r="A15" s="117" t="s">
        <v>848</v>
      </c>
      <c r="B15" s="118" t="s">
        <v>849</v>
      </c>
      <c r="C15" s="118" t="s">
        <v>850</v>
      </c>
      <c r="D15" s="119" t="s">
        <v>681</v>
      </c>
      <c r="E15" s="119" t="s">
        <v>686</v>
      </c>
      <c r="F15" s="117" t="s">
        <v>199</v>
      </c>
      <c r="G15" s="117"/>
      <c r="H15" s="117" t="s">
        <v>672</v>
      </c>
      <c r="I15" s="117"/>
      <c r="J15" s="117"/>
      <c r="K15" s="117"/>
      <c r="L15" s="117"/>
      <c r="M15" s="117"/>
      <c r="N15" s="117"/>
      <c r="O15" s="120" t="s">
        <v>816</v>
      </c>
    </row>
    <row r="16" spans="1:18" ht="15.75" customHeight="1" outlineLevel="1">
      <c r="A16" s="114" t="s">
        <v>851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93.95" customHeight="1" outlineLevel="1">
      <c r="A17" s="117" t="s">
        <v>852</v>
      </c>
      <c r="B17" s="118" t="s">
        <v>853</v>
      </c>
      <c r="C17" s="118" t="s">
        <v>854</v>
      </c>
      <c r="D17" s="119" t="s">
        <v>238</v>
      </c>
      <c r="E17" s="119" t="s">
        <v>686</v>
      </c>
      <c r="F17" s="117" t="s">
        <v>197</v>
      </c>
      <c r="G17" s="117" t="s">
        <v>671</v>
      </c>
      <c r="H17" s="117" t="s">
        <v>672</v>
      </c>
      <c r="I17" s="117"/>
      <c r="J17" s="117"/>
      <c r="K17" s="117"/>
      <c r="L17" s="117"/>
      <c r="M17" s="117"/>
      <c r="N17" s="117"/>
      <c r="O17" s="120" t="s">
        <v>855</v>
      </c>
    </row>
    <row r="18" spans="1:15" s="21" customFormat="1" ht="138.94999999999999" customHeight="1">
      <c r="A18" s="117" t="s">
        <v>856</v>
      </c>
      <c r="B18" s="118" t="s">
        <v>857</v>
      </c>
      <c r="C18" s="118" t="s">
        <v>858</v>
      </c>
      <c r="D18" s="119" t="s">
        <v>242</v>
      </c>
      <c r="E18" s="119" t="s">
        <v>686</v>
      </c>
      <c r="F18" s="117" t="s">
        <v>197</v>
      </c>
      <c r="G18" s="117" t="s">
        <v>671</v>
      </c>
      <c r="H18" s="117" t="s">
        <v>672</v>
      </c>
      <c r="I18" s="117"/>
      <c r="J18" s="117"/>
      <c r="K18" s="117"/>
      <c r="L18" s="117"/>
      <c r="M18" s="117"/>
      <c r="N18" s="117"/>
      <c r="O18" s="120" t="s">
        <v>855</v>
      </c>
    </row>
    <row r="19" spans="1:15" ht="15.75" customHeight="1" outlineLevel="1">
      <c r="A19" s="114" t="s">
        <v>293</v>
      </c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6"/>
    </row>
    <row r="20" spans="1:15" ht="93.95" customHeight="1">
      <c r="A20" s="117" t="s">
        <v>859</v>
      </c>
      <c r="B20" s="118" t="s">
        <v>803</v>
      </c>
      <c r="C20" s="118" t="s">
        <v>860</v>
      </c>
      <c r="D20" s="119" t="s">
        <v>805</v>
      </c>
      <c r="E20" s="119" t="s">
        <v>806</v>
      </c>
      <c r="F20" s="117" t="s">
        <v>197</v>
      </c>
      <c r="G20" s="117" t="s">
        <v>671</v>
      </c>
      <c r="H20" s="117" t="s">
        <v>672</v>
      </c>
      <c r="I20" s="117"/>
      <c r="J20" s="117"/>
      <c r="K20" s="117"/>
      <c r="L20" s="117"/>
      <c r="M20" s="117"/>
      <c r="N20" s="117"/>
      <c r="O20" s="120" t="s">
        <v>855</v>
      </c>
    </row>
    <row r="21" spans="1:15" ht="108.95" customHeight="1">
      <c r="A21" s="117" t="s">
        <v>861</v>
      </c>
      <c r="B21" s="118" t="s">
        <v>808</v>
      </c>
      <c r="C21" s="118" t="s">
        <v>862</v>
      </c>
      <c r="D21" s="119" t="s">
        <v>810</v>
      </c>
      <c r="E21" s="119" t="s">
        <v>811</v>
      </c>
      <c r="F21" s="117" t="s">
        <v>197</v>
      </c>
      <c r="G21" s="117" t="s">
        <v>671</v>
      </c>
      <c r="H21" s="117" t="s">
        <v>672</v>
      </c>
      <c r="I21" s="117"/>
      <c r="J21" s="117"/>
      <c r="K21" s="117"/>
      <c r="L21" s="117"/>
      <c r="M21" s="117"/>
      <c r="N21" s="117"/>
      <c r="O21" s="120" t="s">
        <v>855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0F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70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72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4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0</v>
      </c>
      <c r="C6" s="60">
        <f>COUNTIF($F$11:$F$2000,C$5)</f>
        <v>0</v>
      </c>
      <c r="D6" s="60">
        <f>COUNTIF($F$11:$F$2000,D$5)</f>
        <v>4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863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864</v>
      </c>
      <c r="B12" s="118" t="s">
        <v>865</v>
      </c>
      <c r="C12" s="118" t="s">
        <v>866</v>
      </c>
      <c r="D12" s="119" t="s">
        <v>238</v>
      </c>
      <c r="E12" s="119" t="s">
        <v>670</v>
      </c>
      <c r="F12" s="117" t="s">
        <v>199</v>
      </c>
      <c r="G12" s="117"/>
      <c r="H12" s="117" t="s">
        <v>227</v>
      </c>
      <c r="I12" s="117"/>
      <c r="J12" s="117"/>
      <c r="K12" s="117"/>
      <c r="L12" s="117"/>
      <c r="M12" s="117"/>
      <c r="N12" s="117"/>
      <c r="O12" s="120" t="s">
        <v>816</v>
      </c>
    </row>
    <row r="13" spans="1:18" ht="123.95" customHeight="1" outlineLevel="1">
      <c r="A13" s="117" t="s">
        <v>867</v>
      </c>
      <c r="B13" s="118" t="s">
        <v>868</v>
      </c>
      <c r="C13" s="118" t="s">
        <v>869</v>
      </c>
      <c r="D13" s="119" t="s">
        <v>242</v>
      </c>
      <c r="E13" s="119" t="s">
        <v>670</v>
      </c>
      <c r="F13" s="117" t="s">
        <v>199</v>
      </c>
      <c r="G13" s="117"/>
      <c r="H13" s="117" t="s">
        <v>227</v>
      </c>
      <c r="I13" s="117"/>
      <c r="J13" s="117"/>
      <c r="K13" s="117"/>
      <c r="L13" s="117"/>
      <c r="M13" s="117"/>
      <c r="N13" s="117"/>
      <c r="O13" s="120" t="s">
        <v>816</v>
      </c>
    </row>
    <row r="14" spans="1:18" ht="15.75" customHeight="1" outlineLevel="1">
      <c r="A14" s="114" t="s">
        <v>293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78.95" customHeight="1">
      <c r="A15" s="117" t="s">
        <v>870</v>
      </c>
      <c r="B15" s="118" t="s">
        <v>803</v>
      </c>
      <c r="C15" s="118" t="s">
        <v>871</v>
      </c>
      <c r="D15" s="119" t="s">
        <v>805</v>
      </c>
      <c r="E15" s="119" t="s">
        <v>806</v>
      </c>
      <c r="F15" s="117" t="s">
        <v>199</v>
      </c>
      <c r="G15" s="117"/>
      <c r="H15" s="117" t="s">
        <v>227</v>
      </c>
      <c r="I15" s="117"/>
      <c r="J15" s="117"/>
      <c r="K15" s="117"/>
      <c r="L15" s="117"/>
      <c r="M15" s="117"/>
      <c r="N15" s="117"/>
      <c r="O15" s="120" t="s">
        <v>534</v>
      </c>
    </row>
    <row r="16" spans="1:18" ht="93.95" customHeight="1" outlineLevel="1">
      <c r="A16" s="117" t="s">
        <v>872</v>
      </c>
      <c r="B16" s="118" t="s">
        <v>808</v>
      </c>
      <c r="C16" s="118" t="s">
        <v>873</v>
      </c>
      <c r="D16" s="119" t="s">
        <v>810</v>
      </c>
      <c r="E16" s="119" t="s">
        <v>811</v>
      </c>
      <c r="F16" s="117" t="s">
        <v>199</v>
      </c>
      <c r="G16" s="117"/>
      <c r="H16" s="117" t="s">
        <v>227</v>
      </c>
      <c r="I16" s="117"/>
      <c r="J16" s="117"/>
      <c r="K16" s="117"/>
      <c r="L16" s="117"/>
      <c r="M16" s="117"/>
      <c r="N16" s="117"/>
      <c r="O16" s="120" t="s">
        <v>534</v>
      </c>
    </row>
    <row r="17" ht="14.1" customHeight="1" outlineLevel="1"/>
    <row r="18" s="21" customFormat="1" ht="15.75" customHeight="1"/>
    <row r="19" ht="14.1" customHeight="1" outlineLevel="1"/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10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R38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73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75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18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18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874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875</v>
      </c>
      <c r="B12" s="118" t="s">
        <v>876</v>
      </c>
      <c r="C12" s="118" t="s">
        <v>877</v>
      </c>
      <c r="D12" s="119" t="s">
        <v>238</v>
      </c>
      <c r="E12" s="119" t="s">
        <v>878</v>
      </c>
      <c r="F12" s="117" t="s">
        <v>197</v>
      </c>
      <c r="G12" s="117" t="s">
        <v>6</v>
      </c>
      <c r="H12" s="117" t="s">
        <v>227</v>
      </c>
      <c r="I12" s="117"/>
      <c r="J12" s="117"/>
      <c r="K12" s="117"/>
      <c r="L12" s="117"/>
      <c r="M12" s="117"/>
      <c r="N12" s="117"/>
      <c r="O12" s="120" t="s">
        <v>879</v>
      </c>
    </row>
    <row r="13" spans="1:18" ht="108.95" customHeight="1" outlineLevel="1">
      <c r="A13" s="117" t="s">
        <v>880</v>
      </c>
      <c r="B13" s="118" t="s">
        <v>881</v>
      </c>
      <c r="C13" s="118" t="s">
        <v>882</v>
      </c>
      <c r="D13" s="119" t="s">
        <v>242</v>
      </c>
      <c r="E13" s="119" t="s">
        <v>878</v>
      </c>
      <c r="F13" s="117" t="s">
        <v>197</v>
      </c>
      <c r="G13" s="117" t="s">
        <v>6</v>
      </c>
      <c r="H13" s="117" t="s">
        <v>227</v>
      </c>
      <c r="I13" s="117"/>
      <c r="J13" s="117"/>
      <c r="K13" s="117"/>
      <c r="L13" s="117"/>
      <c r="M13" s="117"/>
      <c r="N13" s="117"/>
      <c r="O13" s="120" t="s">
        <v>879</v>
      </c>
    </row>
    <row r="14" spans="1:18" ht="15.75" customHeight="1" outlineLevel="1">
      <c r="A14" s="114" t="s">
        <v>883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78.95" customHeight="1">
      <c r="A15" s="117" t="s">
        <v>884</v>
      </c>
      <c r="B15" s="118" t="s">
        <v>885</v>
      </c>
      <c r="C15" s="118" t="s">
        <v>886</v>
      </c>
      <c r="D15" s="119" t="s">
        <v>238</v>
      </c>
      <c r="E15" s="119" t="s">
        <v>878</v>
      </c>
      <c r="F15" s="117" t="s">
        <v>197</v>
      </c>
      <c r="G15" s="117" t="s">
        <v>6</v>
      </c>
      <c r="H15" s="117" t="s">
        <v>227</v>
      </c>
      <c r="I15" s="117"/>
      <c r="J15" s="117"/>
      <c r="K15" s="117"/>
      <c r="L15" s="117"/>
      <c r="M15" s="117"/>
      <c r="N15" s="117"/>
      <c r="O15" s="120" t="s">
        <v>879</v>
      </c>
    </row>
    <row r="16" spans="1:18" ht="108.95" customHeight="1" outlineLevel="1">
      <c r="A16" s="117" t="s">
        <v>887</v>
      </c>
      <c r="B16" s="118" t="s">
        <v>888</v>
      </c>
      <c r="C16" s="118" t="s">
        <v>889</v>
      </c>
      <c r="D16" s="119" t="s">
        <v>242</v>
      </c>
      <c r="E16" s="119" t="s">
        <v>878</v>
      </c>
      <c r="F16" s="117" t="s">
        <v>197</v>
      </c>
      <c r="G16" s="117" t="s">
        <v>6</v>
      </c>
      <c r="H16" s="117" t="s">
        <v>227</v>
      </c>
      <c r="I16" s="117"/>
      <c r="J16" s="117"/>
      <c r="K16" s="117"/>
      <c r="L16" s="117"/>
      <c r="M16" s="117"/>
      <c r="N16" s="117"/>
      <c r="O16" s="120" t="s">
        <v>879</v>
      </c>
    </row>
    <row r="17" spans="1:15" ht="15.75" customHeight="1" outlineLevel="1">
      <c r="A17" s="114" t="s">
        <v>890</v>
      </c>
      <c r="B17" s="114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6"/>
    </row>
    <row r="18" spans="1:15" s="21" customFormat="1" ht="78.95" customHeight="1">
      <c r="A18" s="117" t="s">
        <v>891</v>
      </c>
      <c r="B18" s="118" t="s">
        <v>892</v>
      </c>
      <c r="C18" s="118" t="s">
        <v>893</v>
      </c>
      <c r="D18" s="119" t="s">
        <v>238</v>
      </c>
      <c r="E18" s="119" t="s">
        <v>878</v>
      </c>
      <c r="F18" s="117" t="s">
        <v>197</v>
      </c>
      <c r="G18" s="117" t="s">
        <v>6</v>
      </c>
      <c r="H18" s="117" t="s">
        <v>227</v>
      </c>
      <c r="I18" s="117"/>
      <c r="J18" s="117"/>
      <c r="K18" s="117"/>
      <c r="L18" s="117"/>
      <c r="M18" s="117"/>
      <c r="N18" s="117"/>
      <c r="O18" s="120" t="s">
        <v>879</v>
      </c>
    </row>
    <row r="19" spans="1:15" ht="108.95" customHeight="1" outlineLevel="1">
      <c r="A19" s="117" t="s">
        <v>894</v>
      </c>
      <c r="B19" s="118" t="s">
        <v>895</v>
      </c>
      <c r="C19" s="118" t="s">
        <v>896</v>
      </c>
      <c r="D19" s="119" t="s">
        <v>242</v>
      </c>
      <c r="E19" s="119" t="s">
        <v>878</v>
      </c>
      <c r="F19" s="117" t="s">
        <v>197</v>
      </c>
      <c r="G19" s="117" t="s">
        <v>6</v>
      </c>
      <c r="H19" s="117" t="s">
        <v>227</v>
      </c>
      <c r="I19" s="117"/>
      <c r="J19" s="117"/>
      <c r="K19" s="117"/>
      <c r="L19" s="117"/>
      <c r="M19" s="117"/>
      <c r="N19" s="117"/>
      <c r="O19" s="120" t="s">
        <v>879</v>
      </c>
    </row>
    <row r="20" spans="1:15" ht="15.75" customHeight="1">
      <c r="A20" s="114" t="s">
        <v>897</v>
      </c>
      <c r="B20" s="114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6"/>
    </row>
    <row r="21" spans="1:15" ht="78.95" customHeight="1">
      <c r="A21" s="117" t="s">
        <v>898</v>
      </c>
      <c r="B21" s="118" t="s">
        <v>899</v>
      </c>
      <c r="C21" s="118" t="s">
        <v>900</v>
      </c>
      <c r="D21" s="119" t="s">
        <v>238</v>
      </c>
      <c r="E21" s="119" t="s">
        <v>878</v>
      </c>
      <c r="F21" s="117" t="s">
        <v>197</v>
      </c>
      <c r="G21" s="117" t="s">
        <v>6</v>
      </c>
      <c r="H21" s="117" t="s">
        <v>227</v>
      </c>
      <c r="I21" s="117"/>
      <c r="J21" s="117"/>
      <c r="K21" s="117"/>
      <c r="L21" s="117"/>
      <c r="M21" s="117"/>
      <c r="N21" s="117"/>
      <c r="O21" s="120" t="s">
        <v>879</v>
      </c>
    </row>
    <row r="22" spans="1:15" ht="123.95" customHeight="1">
      <c r="A22" s="117" t="s">
        <v>901</v>
      </c>
      <c r="B22" s="118" t="s">
        <v>902</v>
      </c>
      <c r="C22" s="118" t="s">
        <v>903</v>
      </c>
      <c r="D22" s="119" t="s">
        <v>242</v>
      </c>
      <c r="E22" s="119" t="s">
        <v>878</v>
      </c>
      <c r="F22" s="117" t="s">
        <v>197</v>
      </c>
      <c r="G22" s="117" t="s">
        <v>6</v>
      </c>
      <c r="H22" s="117" t="s">
        <v>227</v>
      </c>
      <c r="I22" s="117"/>
      <c r="J22" s="117"/>
      <c r="K22" s="117"/>
      <c r="L22" s="117"/>
      <c r="M22" s="117"/>
      <c r="N22" s="117"/>
      <c r="O22" s="120" t="s">
        <v>879</v>
      </c>
    </row>
    <row r="23" spans="1:15" ht="15.75" customHeight="1">
      <c r="A23" s="114" t="s">
        <v>904</v>
      </c>
      <c r="B23" s="114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6"/>
    </row>
    <row r="24" spans="1:15" ht="78.95" customHeight="1">
      <c r="A24" s="117" t="s">
        <v>905</v>
      </c>
      <c r="B24" s="118" t="s">
        <v>906</v>
      </c>
      <c r="C24" s="118" t="s">
        <v>907</v>
      </c>
      <c r="D24" s="119" t="s">
        <v>238</v>
      </c>
      <c r="E24" s="119" t="s">
        <v>878</v>
      </c>
      <c r="F24" s="117" t="s">
        <v>197</v>
      </c>
      <c r="G24" s="117" t="s">
        <v>6</v>
      </c>
      <c r="H24" s="117" t="s">
        <v>227</v>
      </c>
      <c r="I24" s="117"/>
      <c r="J24" s="117"/>
      <c r="K24" s="117"/>
      <c r="L24" s="117"/>
      <c r="M24" s="117"/>
      <c r="N24" s="117"/>
      <c r="O24" s="120" t="s">
        <v>879</v>
      </c>
    </row>
    <row r="25" spans="1:15" ht="123.95" customHeight="1">
      <c r="A25" s="117" t="s">
        <v>908</v>
      </c>
      <c r="B25" s="118" t="s">
        <v>909</v>
      </c>
      <c r="C25" s="118" t="s">
        <v>910</v>
      </c>
      <c r="D25" s="119" t="s">
        <v>242</v>
      </c>
      <c r="E25" s="119" t="s">
        <v>878</v>
      </c>
      <c r="F25" s="117" t="s">
        <v>197</v>
      </c>
      <c r="G25" s="117" t="s">
        <v>6</v>
      </c>
      <c r="H25" s="117" t="s">
        <v>227</v>
      </c>
      <c r="I25" s="117"/>
      <c r="J25" s="117"/>
      <c r="K25" s="117"/>
      <c r="L25" s="117"/>
      <c r="M25" s="117"/>
      <c r="N25" s="117"/>
      <c r="O25" s="120" t="s">
        <v>879</v>
      </c>
    </row>
    <row r="26" spans="1:15" ht="15.75" customHeight="1">
      <c r="A26" s="114" t="s">
        <v>911</v>
      </c>
      <c r="B26" s="114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</row>
    <row r="27" spans="1:15" ht="93.95" customHeight="1">
      <c r="A27" s="117" t="s">
        <v>912</v>
      </c>
      <c r="B27" s="118" t="s">
        <v>913</v>
      </c>
      <c r="C27" s="118" t="s">
        <v>914</v>
      </c>
      <c r="D27" s="119" t="s">
        <v>238</v>
      </c>
      <c r="E27" s="119" t="s">
        <v>915</v>
      </c>
      <c r="F27" s="117" t="s">
        <v>197</v>
      </c>
      <c r="G27" s="117" t="s">
        <v>6</v>
      </c>
      <c r="H27" s="117" t="s">
        <v>227</v>
      </c>
      <c r="I27" s="117"/>
      <c r="J27" s="117"/>
      <c r="K27" s="117"/>
      <c r="L27" s="117"/>
      <c r="M27" s="117"/>
      <c r="N27" s="117"/>
      <c r="O27" s="120" t="s">
        <v>879</v>
      </c>
    </row>
    <row r="28" spans="1:15" ht="138.94999999999999" customHeight="1">
      <c r="A28" s="117" t="s">
        <v>916</v>
      </c>
      <c r="B28" s="118" t="s">
        <v>917</v>
      </c>
      <c r="C28" s="118" t="s">
        <v>918</v>
      </c>
      <c r="D28" s="119" t="s">
        <v>242</v>
      </c>
      <c r="E28" s="119" t="s">
        <v>915</v>
      </c>
      <c r="F28" s="117" t="s">
        <v>197</v>
      </c>
      <c r="G28" s="117" t="s">
        <v>6</v>
      </c>
      <c r="H28" s="117" t="s">
        <v>227</v>
      </c>
      <c r="I28" s="117"/>
      <c r="J28" s="117"/>
      <c r="K28" s="117"/>
      <c r="L28" s="117"/>
      <c r="M28" s="117"/>
      <c r="N28" s="117"/>
      <c r="O28" s="120" t="s">
        <v>879</v>
      </c>
    </row>
    <row r="29" spans="1:15" ht="15.75" customHeight="1">
      <c r="A29" s="114" t="s">
        <v>919</v>
      </c>
      <c r="B29" s="114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6"/>
    </row>
    <row r="30" spans="1:15" ht="78.95" customHeight="1">
      <c r="A30" s="117" t="s">
        <v>920</v>
      </c>
      <c r="B30" s="118" t="s">
        <v>921</v>
      </c>
      <c r="C30" s="118" t="s">
        <v>922</v>
      </c>
      <c r="D30" s="119" t="s">
        <v>681</v>
      </c>
      <c r="E30" s="119" t="s">
        <v>915</v>
      </c>
      <c r="F30" s="117" t="s">
        <v>197</v>
      </c>
      <c r="G30" s="117" t="s">
        <v>6</v>
      </c>
      <c r="H30" s="117" t="s">
        <v>227</v>
      </c>
      <c r="I30" s="117"/>
      <c r="J30" s="117"/>
      <c r="K30" s="117"/>
      <c r="L30" s="117"/>
      <c r="M30" s="117"/>
      <c r="N30" s="117"/>
      <c r="O30" s="120" t="s">
        <v>879</v>
      </c>
    </row>
    <row r="31" spans="1:15" ht="15.75" customHeight="1">
      <c r="A31" s="114" t="s">
        <v>923</v>
      </c>
      <c r="B31" s="114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6"/>
    </row>
    <row r="32" spans="1:15" ht="78.95" customHeight="1">
      <c r="A32" s="117" t="s">
        <v>924</v>
      </c>
      <c r="B32" s="118" t="s">
        <v>925</v>
      </c>
      <c r="C32" s="118" t="s">
        <v>926</v>
      </c>
      <c r="D32" s="119" t="s">
        <v>681</v>
      </c>
      <c r="E32" s="119" t="s">
        <v>915</v>
      </c>
      <c r="F32" s="117" t="s">
        <v>197</v>
      </c>
      <c r="G32" s="117" t="s">
        <v>6</v>
      </c>
      <c r="H32" s="117" t="s">
        <v>227</v>
      </c>
      <c r="I32" s="117"/>
      <c r="J32" s="117"/>
      <c r="K32" s="117"/>
      <c r="L32" s="117"/>
      <c r="M32" s="117"/>
      <c r="N32" s="117"/>
      <c r="O32" s="120" t="s">
        <v>879</v>
      </c>
    </row>
    <row r="33" spans="1:15" ht="15.75" customHeight="1">
      <c r="A33" s="114" t="s">
        <v>927</v>
      </c>
      <c r="B33" s="114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6"/>
    </row>
    <row r="34" spans="1:15" ht="93.95" customHeight="1">
      <c r="A34" s="117" t="s">
        <v>928</v>
      </c>
      <c r="B34" s="118" t="s">
        <v>929</v>
      </c>
      <c r="C34" s="118" t="s">
        <v>930</v>
      </c>
      <c r="D34" s="119" t="s">
        <v>260</v>
      </c>
      <c r="E34" s="119" t="s">
        <v>915</v>
      </c>
      <c r="F34" s="117" t="s">
        <v>197</v>
      </c>
      <c r="G34" s="117" t="s">
        <v>6</v>
      </c>
      <c r="H34" s="117" t="s">
        <v>227</v>
      </c>
      <c r="I34" s="117"/>
      <c r="J34" s="117"/>
      <c r="K34" s="117"/>
      <c r="L34" s="117"/>
      <c r="M34" s="117"/>
      <c r="N34" s="117"/>
      <c r="O34" s="120" t="s">
        <v>879</v>
      </c>
    </row>
    <row r="35" spans="1:15" ht="123.95" customHeight="1">
      <c r="A35" s="117" t="s">
        <v>931</v>
      </c>
      <c r="B35" s="118" t="s">
        <v>932</v>
      </c>
      <c r="C35" s="118" t="s">
        <v>933</v>
      </c>
      <c r="D35" s="119" t="s">
        <v>242</v>
      </c>
      <c r="E35" s="119" t="s">
        <v>915</v>
      </c>
      <c r="F35" s="117" t="s">
        <v>197</v>
      </c>
      <c r="G35" s="117" t="s">
        <v>6</v>
      </c>
      <c r="H35" s="117" t="s">
        <v>227</v>
      </c>
      <c r="I35" s="117"/>
      <c r="J35" s="117"/>
      <c r="K35" s="117"/>
      <c r="L35" s="117"/>
      <c r="M35" s="117"/>
      <c r="N35" s="117"/>
      <c r="O35" s="120" t="s">
        <v>879</v>
      </c>
    </row>
    <row r="36" spans="1:15" ht="15.75" customHeight="1">
      <c r="A36" s="114" t="s">
        <v>293</v>
      </c>
      <c r="B36" s="114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6"/>
    </row>
    <row r="37" spans="1:15" ht="93.95" customHeight="1">
      <c r="A37" s="117" t="s">
        <v>934</v>
      </c>
      <c r="B37" s="118" t="s">
        <v>803</v>
      </c>
      <c r="C37" s="118" t="s">
        <v>935</v>
      </c>
      <c r="D37" s="119" t="s">
        <v>805</v>
      </c>
      <c r="E37" s="119" t="s">
        <v>806</v>
      </c>
      <c r="F37" s="117" t="s">
        <v>197</v>
      </c>
      <c r="G37" s="117" t="s">
        <v>6</v>
      </c>
      <c r="H37" s="117" t="s">
        <v>227</v>
      </c>
      <c r="I37" s="117"/>
      <c r="J37" s="117"/>
      <c r="K37" s="117"/>
      <c r="L37" s="117"/>
      <c r="M37" s="117"/>
      <c r="N37" s="117"/>
      <c r="O37" s="120" t="s">
        <v>879</v>
      </c>
    </row>
    <row r="38" spans="1:15" ht="108.95" customHeight="1">
      <c r="A38" s="117" t="s">
        <v>936</v>
      </c>
      <c r="B38" s="118" t="s">
        <v>808</v>
      </c>
      <c r="C38" s="118" t="s">
        <v>937</v>
      </c>
      <c r="D38" s="119" t="s">
        <v>810</v>
      </c>
      <c r="E38" s="119" t="s">
        <v>811</v>
      </c>
      <c r="F38" s="117" t="s">
        <v>197</v>
      </c>
      <c r="G38" s="117" t="s">
        <v>6</v>
      </c>
      <c r="H38" s="117" t="s">
        <v>227</v>
      </c>
      <c r="I38" s="117"/>
      <c r="J38" s="117"/>
      <c r="K38" s="117"/>
      <c r="L38" s="117"/>
      <c r="M38" s="117"/>
      <c r="N38" s="117"/>
      <c r="O38" s="120" t="s">
        <v>879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11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77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79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4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2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2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938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939</v>
      </c>
      <c r="B12" s="118" t="s">
        <v>940</v>
      </c>
      <c r="C12" s="118" t="s">
        <v>941</v>
      </c>
      <c r="D12" s="119" t="s">
        <v>238</v>
      </c>
      <c r="E12" s="119" t="s">
        <v>878</v>
      </c>
      <c r="F12" s="117" t="s">
        <v>197</v>
      </c>
      <c r="G12" s="117" t="s">
        <v>671</v>
      </c>
      <c r="H12" s="117" t="s">
        <v>227</v>
      </c>
      <c r="I12" s="117"/>
      <c r="J12" s="117"/>
      <c r="K12" s="117"/>
      <c r="L12" s="117"/>
      <c r="M12" s="117"/>
      <c r="N12" s="117"/>
      <c r="O12" s="120" t="s">
        <v>942</v>
      </c>
    </row>
    <row r="13" spans="1:18" ht="108.95" customHeight="1" outlineLevel="1">
      <c r="A13" s="117" t="s">
        <v>943</v>
      </c>
      <c r="B13" s="118" t="s">
        <v>944</v>
      </c>
      <c r="C13" s="118" t="s">
        <v>945</v>
      </c>
      <c r="D13" s="119" t="s">
        <v>242</v>
      </c>
      <c r="E13" s="119" t="s">
        <v>878</v>
      </c>
      <c r="F13" s="117" t="s">
        <v>197</v>
      </c>
      <c r="G13" s="117" t="s">
        <v>671</v>
      </c>
      <c r="H13" s="117" t="s">
        <v>227</v>
      </c>
      <c r="I13" s="117"/>
      <c r="J13" s="117"/>
      <c r="K13" s="117"/>
      <c r="L13" s="117"/>
      <c r="M13" s="117"/>
      <c r="N13" s="117"/>
      <c r="O13" s="120" t="s">
        <v>942</v>
      </c>
    </row>
    <row r="14" spans="1:18" ht="15.75" customHeight="1" outlineLevel="1">
      <c r="A14" s="114" t="s">
        <v>293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78.95" customHeight="1">
      <c r="A15" s="117" t="s">
        <v>946</v>
      </c>
      <c r="B15" s="118" t="s">
        <v>803</v>
      </c>
      <c r="C15" s="118" t="s">
        <v>947</v>
      </c>
      <c r="D15" s="119" t="s">
        <v>805</v>
      </c>
      <c r="E15" s="119" t="s">
        <v>806</v>
      </c>
      <c r="F15" s="117" t="s">
        <v>200</v>
      </c>
      <c r="G15" s="117"/>
      <c r="H15" s="117" t="s">
        <v>227</v>
      </c>
      <c r="I15" s="117"/>
      <c r="J15" s="117"/>
      <c r="K15" s="117"/>
      <c r="L15" s="117"/>
      <c r="M15" s="117"/>
      <c r="N15" s="117"/>
      <c r="O15" s="120" t="s">
        <v>448</v>
      </c>
    </row>
    <row r="16" spans="1:18" ht="93.95" customHeight="1" outlineLevel="1">
      <c r="A16" s="117" t="s">
        <v>948</v>
      </c>
      <c r="B16" s="118" t="s">
        <v>808</v>
      </c>
      <c r="C16" s="118" t="s">
        <v>949</v>
      </c>
      <c r="D16" s="119" t="s">
        <v>810</v>
      </c>
      <c r="E16" s="119" t="s">
        <v>811</v>
      </c>
      <c r="F16" s="117" t="s">
        <v>200</v>
      </c>
      <c r="G16" s="117"/>
      <c r="H16" s="117" t="s">
        <v>227</v>
      </c>
      <c r="I16" s="117"/>
      <c r="J16" s="117"/>
      <c r="K16" s="117"/>
      <c r="L16" s="117"/>
      <c r="M16" s="117"/>
      <c r="N16" s="117"/>
      <c r="O16" s="120" t="s">
        <v>448</v>
      </c>
    </row>
    <row r="17" ht="14.1" customHeight="1" outlineLevel="1"/>
    <row r="18" s="21" customFormat="1" ht="15.75" customHeight="1"/>
    <row r="19" ht="14.1" customHeight="1" outlineLevel="1"/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12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R37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80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82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17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17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950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951</v>
      </c>
      <c r="B12" s="118" t="s">
        <v>952</v>
      </c>
      <c r="C12" s="118" t="s">
        <v>953</v>
      </c>
      <c r="D12" s="119" t="s">
        <v>681</v>
      </c>
      <c r="E12" s="119" t="s">
        <v>915</v>
      </c>
      <c r="F12" s="117" t="s">
        <v>197</v>
      </c>
      <c r="G12" s="117" t="s">
        <v>6</v>
      </c>
      <c r="H12" s="117" t="s">
        <v>227</v>
      </c>
      <c r="I12" s="117"/>
      <c r="J12" s="117"/>
      <c r="K12" s="117"/>
      <c r="L12" s="117"/>
      <c r="M12" s="117"/>
      <c r="N12" s="117"/>
      <c r="O12" s="120" t="s">
        <v>954</v>
      </c>
    </row>
    <row r="13" spans="1:18" ht="15.75" customHeight="1" outlineLevel="1">
      <c r="A13" s="114" t="s">
        <v>955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93.95" customHeight="1" outlineLevel="1">
      <c r="A14" s="117" t="s">
        <v>956</v>
      </c>
      <c r="B14" s="118" t="s">
        <v>957</v>
      </c>
      <c r="C14" s="118" t="s">
        <v>958</v>
      </c>
      <c r="D14" s="119" t="s">
        <v>238</v>
      </c>
      <c r="E14" s="119" t="s">
        <v>915</v>
      </c>
      <c r="F14" s="117" t="s">
        <v>197</v>
      </c>
      <c r="G14" s="117" t="s">
        <v>6</v>
      </c>
      <c r="H14" s="117" t="s">
        <v>227</v>
      </c>
      <c r="I14" s="117"/>
      <c r="J14" s="117"/>
      <c r="K14" s="117"/>
      <c r="L14" s="117"/>
      <c r="M14" s="117"/>
      <c r="N14" s="117"/>
      <c r="O14" s="120" t="s">
        <v>954</v>
      </c>
    </row>
    <row r="15" spans="1:18" s="21" customFormat="1" ht="123.95" customHeight="1">
      <c r="A15" s="117" t="s">
        <v>959</v>
      </c>
      <c r="B15" s="118" t="s">
        <v>960</v>
      </c>
      <c r="C15" s="118" t="s">
        <v>961</v>
      </c>
      <c r="D15" s="119" t="s">
        <v>242</v>
      </c>
      <c r="E15" s="119" t="s">
        <v>915</v>
      </c>
      <c r="F15" s="117" t="s">
        <v>197</v>
      </c>
      <c r="G15" s="117" t="s">
        <v>6</v>
      </c>
      <c r="H15" s="117" t="s">
        <v>227</v>
      </c>
      <c r="I15" s="117"/>
      <c r="J15" s="117"/>
      <c r="K15" s="117"/>
      <c r="L15" s="117"/>
      <c r="M15" s="117"/>
      <c r="N15" s="117"/>
      <c r="O15" s="120" t="s">
        <v>954</v>
      </c>
    </row>
    <row r="16" spans="1:18" ht="15.75" customHeight="1" outlineLevel="1">
      <c r="A16" s="114" t="s">
        <v>962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93.95" customHeight="1" outlineLevel="1">
      <c r="A17" s="117" t="s">
        <v>963</v>
      </c>
      <c r="B17" s="118" t="s">
        <v>964</v>
      </c>
      <c r="C17" s="118" t="s">
        <v>965</v>
      </c>
      <c r="D17" s="119" t="s">
        <v>260</v>
      </c>
      <c r="E17" s="119" t="s">
        <v>966</v>
      </c>
      <c r="F17" s="117" t="s">
        <v>197</v>
      </c>
      <c r="G17" s="117" t="s">
        <v>6</v>
      </c>
      <c r="H17" s="117" t="s">
        <v>227</v>
      </c>
      <c r="I17" s="117"/>
      <c r="J17" s="117"/>
      <c r="K17" s="117"/>
      <c r="L17" s="117"/>
      <c r="M17" s="117"/>
      <c r="N17" s="117"/>
      <c r="O17" s="120" t="s">
        <v>954</v>
      </c>
    </row>
    <row r="18" spans="1:15" s="21" customFormat="1" ht="123.95" customHeight="1">
      <c r="A18" s="117" t="s">
        <v>967</v>
      </c>
      <c r="B18" s="118" t="s">
        <v>968</v>
      </c>
      <c r="C18" s="118" t="s">
        <v>969</v>
      </c>
      <c r="D18" s="119" t="s">
        <v>242</v>
      </c>
      <c r="E18" s="119" t="s">
        <v>966</v>
      </c>
      <c r="F18" s="117" t="s">
        <v>197</v>
      </c>
      <c r="G18" s="117" t="s">
        <v>6</v>
      </c>
      <c r="H18" s="117" t="s">
        <v>227</v>
      </c>
      <c r="I18" s="117"/>
      <c r="J18" s="117"/>
      <c r="K18" s="117"/>
      <c r="L18" s="117"/>
      <c r="M18" s="117"/>
      <c r="N18" s="117"/>
      <c r="O18" s="120" t="s">
        <v>954</v>
      </c>
    </row>
    <row r="19" spans="1:15" ht="15.75" customHeight="1" outlineLevel="1">
      <c r="A19" s="114" t="s">
        <v>970</v>
      </c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6"/>
    </row>
    <row r="20" spans="1:15" ht="78.95" customHeight="1">
      <c r="A20" s="117" t="s">
        <v>971</v>
      </c>
      <c r="B20" s="118" t="s">
        <v>972</v>
      </c>
      <c r="C20" s="118" t="s">
        <v>973</v>
      </c>
      <c r="D20" s="119" t="s">
        <v>247</v>
      </c>
      <c r="E20" s="119" t="s">
        <v>966</v>
      </c>
      <c r="F20" s="117" t="s">
        <v>197</v>
      </c>
      <c r="G20" s="117" t="s">
        <v>6</v>
      </c>
      <c r="H20" s="117" t="s">
        <v>227</v>
      </c>
      <c r="I20" s="117"/>
      <c r="J20" s="117"/>
      <c r="K20" s="117"/>
      <c r="L20" s="117"/>
      <c r="M20" s="117"/>
      <c r="N20" s="117"/>
      <c r="O20" s="120" t="s">
        <v>954</v>
      </c>
    </row>
    <row r="21" spans="1:15" ht="123.95" customHeight="1">
      <c r="A21" s="117" t="s">
        <v>974</v>
      </c>
      <c r="B21" s="118" t="s">
        <v>975</v>
      </c>
      <c r="C21" s="118" t="s">
        <v>976</v>
      </c>
      <c r="D21" s="119" t="s">
        <v>242</v>
      </c>
      <c r="E21" s="119" t="s">
        <v>966</v>
      </c>
      <c r="F21" s="117" t="s">
        <v>197</v>
      </c>
      <c r="G21" s="117" t="s">
        <v>6</v>
      </c>
      <c r="H21" s="117" t="s">
        <v>227</v>
      </c>
      <c r="I21" s="117"/>
      <c r="J21" s="117"/>
      <c r="K21" s="117"/>
      <c r="L21" s="117"/>
      <c r="M21" s="117"/>
      <c r="N21" s="117"/>
      <c r="O21" s="120" t="s">
        <v>954</v>
      </c>
    </row>
    <row r="22" spans="1:15" ht="15.75" customHeight="1">
      <c r="A22" s="114" t="s">
        <v>977</v>
      </c>
      <c r="B22" s="114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6"/>
    </row>
    <row r="23" spans="1:15" ht="93.95" customHeight="1">
      <c r="A23" s="117" t="s">
        <v>978</v>
      </c>
      <c r="B23" s="118" t="s">
        <v>979</v>
      </c>
      <c r="C23" s="118" t="s">
        <v>980</v>
      </c>
      <c r="D23" s="119" t="s">
        <v>681</v>
      </c>
      <c r="E23" s="119" t="s">
        <v>915</v>
      </c>
      <c r="F23" s="117" t="s">
        <v>197</v>
      </c>
      <c r="G23" s="117" t="s">
        <v>6</v>
      </c>
      <c r="H23" s="117" t="s">
        <v>227</v>
      </c>
      <c r="I23" s="117"/>
      <c r="J23" s="117"/>
      <c r="K23" s="117"/>
      <c r="L23" s="117"/>
      <c r="M23" s="117"/>
      <c r="N23" s="117"/>
      <c r="O23" s="120" t="s">
        <v>954</v>
      </c>
    </row>
    <row r="24" spans="1:15" ht="15.75" customHeight="1">
      <c r="A24" s="114" t="s">
        <v>981</v>
      </c>
      <c r="B24" s="114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6"/>
    </row>
    <row r="25" spans="1:15" ht="93.95" customHeight="1">
      <c r="A25" s="117" t="s">
        <v>982</v>
      </c>
      <c r="B25" s="118" t="s">
        <v>983</v>
      </c>
      <c r="C25" s="118" t="s">
        <v>984</v>
      </c>
      <c r="D25" s="119" t="s">
        <v>260</v>
      </c>
      <c r="E25" s="119" t="s">
        <v>915</v>
      </c>
      <c r="F25" s="117" t="s">
        <v>197</v>
      </c>
      <c r="G25" s="117" t="s">
        <v>6</v>
      </c>
      <c r="H25" s="117" t="s">
        <v>227</v>
      </c>
      <c r="I25" s="117"/>
      <c r="J25" s="117"/>
      <c r="K25" s="117"/>
      <c r="L25" s="117"/>
      <c r="M25" s="117"/>
      <c r="N25" s="117"/>
      <c r="O25" s="120" t="s">
        <v>954</v>
      </c>
    </row>
    <row r="26" spans="1:15" ht="123.95" customHeight="1">
      <c r="A26" s="117" t="s">
        <v>985</v>
      </c>
      <c r="B26" s="118" t="s">
        <v>986</v>
      </c>
      <c r="C26" s="118" t="s">
        <v>987</v>
      </c>
      <c r="D26" s="119" t="s">
        <v>242</v>
      </c>
      <c r="E26" s="119" t="s">
        <v>915</v>
      </c>
      <c r="F26" s="117" t="s">
        <v>197</v>
      </c>
      <c r="G26" s="117" t="s">
        <v>6</v>
      </c>
      <c r="H26" s="117" t="s">
        <v>227</v>
      </c>
      <c r="I26" s="117"/>
      <c r="J26" s="117"/>
      <c r="K26" s="117"/>
      <c r="L26" s="117"/>
      <c r="M26" s="117"/>
      <c r="N26" s="117"/>
      <c r="O26" s="120" t="s">
        <v>954</v>
      </c>
    </row>
    <row r="27" spans="1:15" ht="15.75" customHeight="1">
      <c r="A27" s="114" t="s">
        <v>988</v>
      </c>
      <c r="B27" s="114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6"/>
    </row>
    <row r="28" spans="1:15" ht="93.95" customHeight="1">
      <c r="A28" s="117" t="s">
        <v>989</v>
      </c>
      <c r="B28" s="118" t="s">
        <v>990</v>
      </c>
      <c r="C28" s="118" t="s">
        <v>991</v>
      </c>
      <c r="D28" s="119" t="s">
        <v>260</v>
      </c>
      <c r="E28" s="119" t="s">
        <v>966</v>
      </c>
      <c r="F28" s="117" t="s">
        <v>197</v>
      </c>
      <c r="G28" s="117" t="s">
        <v>6</v>
      </c>
      <c r="H28" s="117" t="s">
        <v>227</v>
      </c>
      <c r="I28" s="117"/>
      <c r="J28" s="117"/>
      <c r="K28" s="117"/>
      <c r="L28" s="117"/>
      <c r="M28" s="117"/>
      <c r="N28" s="117"/>
      <c r="O28" s="120" t="s">
        <v>954</v>
      </c>
    </row>
    <row r="29" spans="1:15" ht="123.95" customHeight="1">
      <c r="A29" s="117" t="s">
        <v>992</v>
      </c>
      <c r="B29" s="118" t="s">
        <v>993</v>
      </c>
      <c r="C29" s="118" t="s">
        <v>994</v>
      </c>
      <c r="D29" s="119" t="s">
        <v>242</v>
      </c>
      <c r="E29" s="119" t="s">
        <v>966</v>
      </c>
      <c r="F29" s="117" t="s">
        <v>197</v>
      </c>
      <c r="G29" s="117" t="s">
        <v>6</v>
      </c>
      <c r="H29" s="117" t="s">
        <v>227</v>
      </c>
      <c r="I29" s="117"/>
      <c r="J29" s="117"/>
      <c r="K29" s="117"/>
      <c r="L29" s="117"/>
      <c r="M29" s="117"/>
      <c r="N29" s="117"/>
      <c r="O29" s="120" t="s">
        <v>954</v>
      </c>
    </row>
    <row r="30" spans="1:15" ht="15.75" customHeight="1">
      <c r="A30" s="114" t="s">
        <v>874</v>
      </c>
      <c r="B30" s="114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6"/>
    </row>
    <row r="31" spans="1:15" ht="78.95" customHeight="1">
      <c r="A31" s="117" t="s">
        <v>995</v>
      </c>
      <c r="B31" s="118" t="s">
        <v>876</v>
      </c>
      <c r="C31" s="118" t="s">
        <v>877</v>
      </c>
      <c r="D31" s="119" t="s">
        <v>238</v>
      </c>
      <c r="E31" s="119" t="s">
        <v>878</v>
      </c>
      <c r="F31" s="117" t="s">
        <v>197</v>
      </c>
      <c r="G31" s="117" t="s">
        <v>6</v>
      </c>
      <c r="H31" s="117" t="s">
        <v>227</v>
      </c>
      <c r="I31" s="117"/>
      <c r="J31" s="117"/>
      <c r="K31" s="117"/>
      <c r="L31" s="117"/>
      <c r="M31" s="117"/>
      <c r="N31" s="117"/>
      <c r="O31" s="120" t="s">
        <v>954</v>
      </c>
    </row>
    <row r="32" spans="1:15" ht="108.95" customHeight="1">
      <c r="A32" s="117" t="s">
        <v>996</v>
      </c>
      <c r="B32" s="118" t="s">
        <v>881</v>
      </c>
      <c r="C32" s="118" t="s">
        <v>882</v>
      </c>
      <c r="D32" s="119" t="s">
        <v>242</v>
      </c>
      <c r="E32" s="119" t="s">
        <v>878</v>
      </c>
      <c r="F32" s="117" t="s">
        <v>197</v>
      </c>
      <c r="G32" s="117" t="s">
        <v>6</v>
      </c>
      <c r="H32" s="117" t="s">
        <v>227</v>
      </c>
      <c r="I32" s="117"/>
      <c r="J32" s="117"/>
      <c r="K32" s="117"/>
      <c r="L32" s="117"/>
      <c r="M32" s="117"/>
      <c r="N32" s="117"/>
      <c r="O32" s="120" t="s">
        <v>954</v>
      </c>
    </row>
    <row r="33" spans="1:15" ht="15.75" customHeight="1">
      <c r="A33" s="114" t="s">
        <v>919</v>
      </c>
      <c r="B33" s="114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6"/>
    </row>
    <row r="34" spans="1:15" ht="78.95" customHeight="1">
      <c r="A34" s="117" t="s">
        <v>997</v>
      </c>
      <c r="B34" s="118" t="s">
        <v>921</v>
      </c>
      <c r="C34" s="118" t="s">
        <v>922</v>
      </c>
      <c r="D34" s="119" t="s">
        <v>681</v>
      </c>
      <c r="E34" s="119" t="s">
        <v>915</v>
      </c>
      <c r="F34" s="117" t="s">
        <v>197</v>
      </c>
      <c r="G34" s="117" t="s">
        <v>6</v>
      </c>
      <c r="H34" s="117" t="s">
        <v>227</v>
      </c>
      <c r="I34" s="117"/>
      <c r="J34" s="117"/>
      <c r="K34" s="117"/>
      <c r="L34" s="117"/>
      <c r="M34" s="117"/>
      <c r="N34" s="117"/>
      <c r="O34" s="120" t="s">
        <v>954</v>
      </c>
    </row>
    <row r="35" spans="1:15" ht="15.75" customHeight="1">
      <c r="A35" s="114" t="s">
        <v>293</v>
      </c>
      <c r="B35" s="114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6"/>
    </row>
    <row r="36" spans="1:15" ht="78.95" customHeight="1">
      <c r="A36" s="117" t="s">
        <v>998</v>
      </c>
      <c r="B36" s="118" t="s">
        <v>803</v>
      </c>
      <c r="C36" s="118" t="s">
        <v>999</v>
      </c>
      <c r="D36" s="119" t="s">
        <v>805</v>
      </c>
      <c r="E36" s="119" t="s">
        <v>806</v>
      </c>
      <c r="F36" s="117" t="s">
        <v>197</v>
      </c>
      <c r="G36" s="117" t="s">
        <v>6</v>
      </c>
      <c r="H36" s="117" t="s">
        <v>227</v>
      </c>
      <c r="I36" s="117"/>
      <c r="J36" s="117"/>
      <c r="K36" s="117"/>
      <c r="L36" s="117"/>
      <c r="M36" s="117"/>
      <c r="N36" s="117"/>
      <c r="O36" s="120" t="s">
        <v>954</v>
      </c>
    </row>
    <row r="37" spans="1:15" ht="108.95" customHeight="1">
      <c r="A37" s="117" t="s">
        <v>1000</v>
      </c>
      <c r="B37" s="118" t="s">
        <v>808</v>
      </c>
      <c r="C37" s="118" t="s">
        <v>1001</v>
      </c>
      <c r="D37" s="119" t="s">
        <v>810</v>
      </c>
      <c r="E37" s="119" t="s">
        <v>811</v>
      </c>
      <c r="F37" s="117" t="s">
        <v>197</v>
      </c>
      <c r="G37" s="117" t="s">
        <v>6</v>
      </c>
      <c r="H37" s="117" t="s">
        <v>227</v>
      </c>
      <c r="I37" s="117"/>
      <c r="J37" s="117"/>
      <c r="K37" s="117"/>
      <c r="L37" s="117"/>
      <c r="M37" s="117"/>
      <c r="N37" s="117"/>
      <c r="O37" s="120" t="s">
        <v>954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13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R21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83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85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7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0</v>
      </c>
      <c r="C6" s="60">
        <f>COUNTIF($F$11:$F$2000,C$5)</f>
        <v>0</v>
      </c>
      <c r="D6" s="60">
        <f>COUNTIF($F$11:$F$2000,D$5)</f>
        <v>7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1002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1003</v>
      </c>
      <c r="B12" s="118" t="s">
        <v>1004</v>
      </c>
      <c r="C12" s="118" t="s">
        <v>1005</v>
      </c>
      <c r="D12" s="119" t="s">
        <v>681</v>
      </c>
      <c r="E12" s="119" t="s">
        <v>915</v>
      </c>
      <c r="F12" s="117" t="s">
        <v>199</v>
      </c>
      <c r="G12" s="117"/>
      <c r="H12" s="117" t="s">
        <v>227</v>
      </c>
      <c r="I12" s="117"/>
      <c r="J12" s="117"/>
      <c r="K12" s="117"/>
      <c r="L12" s="117"/>
      <c r="M12" s="117"/>
      <c r="N12" s="117"/>
      <c r="O12" s="120" t="s">
        <v>816</v>
      </c>
    </row>
    <row r="13" spans="1:18" ht="15.75" customHeight="1" outlineLevel="1">
      <c r="A13" s="114" t="s">
        <v>1006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93.95" customHeight="1" outlineLevel="1">
      <c r="A14" s="117" t="s">
        <v>1007</v>
      </c>
      <c r="B14" s="118" t="s">
        <v>1008</v>
      </c>
      <c r="C14" s="118" t="s">
        <v>1009</v>
      </c>
      <c r="D14" s="119" t="s">
        <v>260</v>
      </c>
      <c r="E14" s="119" t="s">
        <v>915</v>
      </c>
      <c r="F14" s="117" t="s">
        <v>199</v>
      </c>
      <c r="G14" s="117"/>
      <c r="H14" s="117" t="s">
        <v>227</v>
      </c>
      <c r="I14" s="117"/>
      <c r="J14" s="117"/>
      <c r="K14" s="117"/>
      <c r="L14" s="117"/>
      <c r="M14" s="117"/>
      <c r="N14" s="117"/>
      <c r="O14" s="120" t="s">
        <v>816</v>
      </c>
    </row>
    <row r="15" spans="1:18" s="21" customFormat="1" ht="123.95" customHeight="1">
      <c r="A15" s="117" t="s">
        <v>1010</v>
      </c>
      <c r="B15" s="118" t="s">
        <v>1011</v>
      </c>
      <c r="C15" s="118" t="s">
        <v>1012</v>
      </c>
      <c r="D15" s="119" t="s">
        <v>242</v>
      </c>
      <c r="E15" s="119" t="s">
        <v>915</v>
      </c>
      <c r="F15" s="117" t="s">
        <v>199</v>
      </c>
      <c r="G15" s="117"/>
      <c r="H15" s="117" t="s">
        <v>227</v>
      </c>
      <c r="I15" s="117"/>
      <c r="J15" s="117"/>
      <c r="K15" s="117"/>
      <c r="L15" s="117"/>
      <c r="M15" s="117"/>
      <c r="N15" s="117"/>
      <c r="O15" s="120" t="s">
        <v>816</v>
      </c>
    </row>
    <row r="16" spans="1:18" ht="15.75" customHeight="1" outlineLevel="1">
      <c r="A16" s="114" t="s">
        <v>1013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93.95" customHeight="1" outlineLevel="1">
      <c r="A17" s="117" t="s">
        <v>1014</v>
      </c>
      <c r="B17" s="118" t="s">
        <v>1015</v>
      </c>
      <c r="C17" s="118" t="s">
        <v>1016</v>
      </c>
      <c r="D17" s="119" t="s">
        <v>238</v>
      </c>
      <c r="E17" s="119" t="s">
        <v>915</v>
      </c>
      <c r="F17" s="117" t="s">
        <v>199</v>
      </c>
      <c r="G17" s="117"/>
      <c r="H17" s="117" t="s">
        <v>227</v>
      </c>
      <c r="I17" s="117"/>
      <c r="J17" s="117"/>
      <c r="K17" s="117"/>
      <c r="L17" s="117"/>
      <c r="M17" s="117"/>
      <c r="N17" s="117"/>
      <c r="O17" s="120" t="s">
        <v>816</v>
      </c>
    </row>
    <row r="18" spans="1:15" s="21" customFormat="1" ht="123.95" customHeight="1">
      <c r="A18" s="117" t="s">
        <v>1017</v>
      </c>
      <c r="B18" s="118" t="s">
        <v>1018</v>
      </c>
      <c r="C18" s="118" t="s">
        <v>1019</v>
      </c>
      <c r="D18" s="119" t="s">
        <v>242</v>
      </c>
      <c r="E18" s="119" t="s">
        <v>915</v>
      </c>
      <c r="F18" s="117" t="s">
        <v>199</v>
      </c>
      <c r="G18" s="117"/>
      <c r="H18" s="117" t="s">
        <v>227</v>
      </c>
      <c r="I18" s="117"/>
      <c r="J18" s="117"/>
      <c r="K18" s="117"/>
      <c r="L18" s="117"/>
      <c r="M18" s="117"/>
      <c r="N18" s="117"/>
      <c r="O18" s="120" t="s">
        <v>816</v>
      </c>
    </row>
    <row r="19" spans="1:15" ht="15.75" customHeight="1" outlineLevel="1">
      <c r="A19" s="114" t="s">
        <v>293</v>
      </c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6"/>
    </row>
    <row r="20" spans="1:15" ht="78.95" customHeight="1">
      <c r="A20" s="117" t="s">
        <v>1020</v>
      </c>
      <c r="B20" s="118" t="s">
        <v>803</v>
      </c>
      <c r="C20" s="118" t="s">
        <v>1021</v>
      </c>
      <c r="D20" s="119" t="s">
        <v>805</v>
      </c>
      <c r="E20" s="119" t="s">
        <v>806</v>
      </c>
      <c r="F20" s="117" t="s">
        <v>199</v>
      </c>
      <c r="G20" s="117"/>
      <c r="H20" s="117" t="s">
        <v>227</v>
      </c>
      <c r="I20" s="117"/>
      <c r="J20" s="117"/>
      <c r="K20" s="117"/>
      <c r="L20" s="117"/>
      <c r="M20" s="117"/>
      <c r="N20" s="117"/>
      <c r="O20" s="120" t="s">
        <v>534</v>
      </c>
    </row>
    <row r="21" spans="1:15" ht="93.95" customHeight="1">
      <c r="A21" s="117" t="s">
        <v>1022</v>
      </c>
      <c r="B21" s="118" t="s">
        <v>808</v>
      </c>
      <c r="C21" s="118" t="s">
        <v>1023</v>
      </c>
      <c r="D21" s="119" t="s">
        <v>810</v>
      </c>
      <c r="E21" s="119" t="s">
        <v>811</v>
      </c>
      <c r="F21" s="117" t="s">
        <v>199</v>
      </c>
      <c r="G21" s="117"/>
      <c r="H21" s="117" t="s">
        <v>227</v>
      </c>
      <c r="I21" s="117"/>
      <c r="J21" s="117"/>
      <c r="K21" s="117"/>
      <c r="L21" s="117"/>
      <c r="M21" s="117"/>
      <c r="N21" s="117"/>
      <c r="O21" s="120" t="s">
        <v>534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14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R23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86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88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8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8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1024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1025</v>
      </c>
      <c r="B12" s="118" t="s">
        <v>1026</v>
      </c>
      <c r="C12" s="118" t="s">
        <v>1027</v>
      </c>
      <c r="D12" s="119" t="s">
        <v>681</v>
      </c>
      <c r="E12" s="119" t="s">
        <v>1028</v>
      </c>
      <c r="F12" s="117" t="s">
        <v>197</v>
      </c>
      <c r="G12" s="117" t="s">
        <v>6</v>
      </c>
      <c r="H12" s="117" t="s">
        <v>1029</v>
      </c>
      <c r="I12" s="117"/>
      <c r="J12" s="117"/>
      <c r="K12" s="117"/>
      <c r="L12" s="117"/>
      <c r="M12" s="117"/>
      <c r="N12" s="117"/>
      <c r="O12" s="120" t="s">
        <v>1030</v>
      </c>
    </row>
    <row r="13" spans="1:18" ht="15.75" customHeight="1" outlineLevel="1">
      <c r="A13" s="114" t="s">
        <v>1031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93.95" customHeight="1" outlineLevel="1">
      <c r="A14" s="117" t="s">
        <v>1032</v>
      </c>
      <c r="B14" s="118" t="s">
        <v>1033</v>
      </c>
      <c r="C14" s="118" t="s">
        <v>1034</v>
      </c>
      <c r="D14" s="119" t="s">
        <v>260</v>
      </c>
      <c r="E14" s="119" t="s">
        <v>1028</v>
      </c>
      <c r="F14" s="117" t="s">
        <v>197</v>
      </c>
      <c r="G14" s="117" t="s">
        <v>6</v>
      </c>
      <c r="H14" s="117" t="s">
        <v>1029</v>
      </c>
      <c r="I14" s="117"/>
      <c r="J14" s="117"/>
      <c r="K14" s="117"/>
      <c r="L14" s="117"/>
      <c r="M14" s="117"/>
      <c r="N14" s="117"/>
      <c r="O14" s="120" t="s">
        <v>1030</v>
      </c>
    </row>
    <row r="15" spans="1:18" s="21" customFormat="1" ht="123.95" customHeight="1">
      <c r="A15" s="117" t="s">
        <v>1035</v>
      </c>
      <c r="B15" s="118" t="s">
        <v>1036</v>
      </c>
      <c r="C15" s="118" t="s">
        <v>1037</v>
      </c>
      <c r="D15" s="119" t="s">
        <v>242</v>
      </c>
      <c r="E15" s="119" t="s">
        <v>1028</v>
      </c>
      <c r="F15" s="117" t="s">
        <v>197</v>
      </c>
      <c r="G15" s="117" t="s">
        <v>6</v>
      </c>
      <c r="H15" s="117" t="s">
        <v>1029</v>
      </c>
      <c r="I15" s="117"/>
      <c r="J15" s="117"/>
      <c r="K15" s="117"/>
      <c r="L15" s="117"/>
      <c r="M15" s="117"/>
      <c r="N15" s="117"/>
      <c r="O15" s="120" t="s">
        <v>1030</v>
      </c>
    </row>
    <row r="16" spans="1:18" ht="15.75" customHeight="1" outlineLevel="1">
      <c r="A16" s="114" t="s">
        <v>1038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93.95" customHeight="1" outlineLevel="1">
      <c r="A17" s="117" t="s">
        <v>1039</v>
      </c>
      <c r="B17" s="118" t="s">
        <v>1040</v>
      </c>
      <c r="C17" s="118" t="s">
        <v>1041</v>
      </c>
      <c r="D17" s="119" t="s">
        <v>681</v>
      </c>
      <c r="E17" s="119" t="s">
        <v>1028</v>
      </c>
      <c r="F17" s="117" t="s">
        <v>197</v>
      </c>
      <c r="G17" s="117" t="s">
        <v>6</v>
      </c>
      <c r="H17" s="117" t="s">
        <v>1029</v>
      </c>
      <c r="I17" s="117"/>
      <c r="J17" s="117"/>
      <c r="K17" s="117"/>
      <c r="L17" s="117"/>
      <c r="M17" s="117"/>
      <c r="N17" s="117"/>
      <c r="O17" s="120" t="s">
        <v>1030</v>
      </c>
    </row>
    <row r="18" spans="1:15" s="21" customFormat="1" ht="15.75" customHeight="1">
      <c r="A18" s="114" t="s">
        <v>1042</v>
      </c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</row>
    <row r="19" spans="1:15" ht="93.95" customHeight="1" outlineLevel="1">
      <c r="A19" s="117" t="s">
        <v>1043</v>
      </c>
      <c r="B19" s="118" t="s">
        <v>1044</v>
      </c>
      <c r="C19" s="118" t="s">
        <v>1045</v>
      </c>
      <c r="D19" s="119" t="s">
        <v>260</v>
      </c>
      <c r="E19" s="119" t="s">
        <v>1028</v>
      </c>
      <c r="F19" s="117" t="s">
        <v>197</v>
      </c>
      <c r="G19" s="117" t="s">
        <v>6</v>
      </c>
      <c r="H19" s="117" t="s">
        <v>1029</v>
      </c>
      <c r="I19" s="117"/>
      <c r="J19" s="117"/>
      <c r="K19" s="117"/>
      <c r="L19" s="117"/>
      <c r="M19" s="117"/>
      <c r="N19" s="117"/>
      <c r="O19" s="120" t="s">
        <v>1030</v>
      </c>
    </row>
    <row r="20" spans="1:15" ht="123.95" customHeight="1">
      <c r="A20" s="117" t="s">
        <v>1046</v>
      </c>
      <c r="B20" s="118" t="s">
        <v>1047</v>
      </c>
      <c r="C20" s="118" t="s">
        <v>1048</v>
      </c>
      <c r="D20" s="119" t="s">
        <v>242</v>
      </c>
      <c r="E20" s="119" t="s">
        <v>1028</v>
      </c>
      <c r="F20" s="117" t="s">
        <v>197</v>
      </c>
      <c r="G20" s="117" t="s">
        <v>6</v>
      </c>
      <c r="H20" s="117" t="s">
        <v>1029</v>
      </c>
      <c r="I20" s="117"/>
      <c r="J20" s="117"/>
      <c r="K20" s="117"/>
      <c r="L20" s="117"/>
      <c r="M20" s="117"/>
      <c r="N20" s="117"/>
      <c r="O20" s="120" t="s">
        <v>1030</v>
      </c>
    </row>
    <row r="21" spans="1:15" ht="15.75" customHeight="1">
      <c r="A21" s="114" t="s">
        <v>293</v>
      </c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6"/>
    </row>
    <row r="22" spans="1:15" ht="78.95" customHeight="1">
      <c r="A22" s="117" t="s">
        <v>1049</v>
      </c>
      <c r="B22" s="118" t="s">
        <v>803</v>
      </c>
      <c r="C22" s="118" t="s">
        <v>1050</v>
      </c>
      <c r="D22" s="119" t="s">
        <v>805</v>
      </c>
      <c r="E22" s="119" t="s">
        <v>806</v>
      </c>
      <c r="F22" s="117" t="s">
        <v>197</v>
      </c>
      <c r="G22" s="117" t="s">
        <v>6</v>
      </c>
      <c r="H22" s="117" t="s">
        <v>1029</v>
      </c>
      <c r="I22" s="117"/>
      <c r="J22" s="117"/>
      <c r="K22" s="117"/>
      <c r="L22" s="117"/>
      <c r="M22" s="117"/>
      <c r="N22" s="117"/>
      <c r="O22" s="120" t="s">
        <v>1030</v>
      </c>
    </row>
    <row r="23" spans="1:15" ht="108.95" customHeight="1">
      <c r="A23" s="117" t="s">
        <v>1051</v>
      </c>
      <c r="B23" s="118" t="s">
        <v>808</v>
      </c>
      <c r="C23" s="118" t="s">
        <v>1052</v>
      </c>
      <c r="D23" s="119" t="s">
        <v>810</v>
      </c>
      <c r="E23" s="119" t="s">
        <v>811</v>
      </c>
      <c r="F23" s="117" t="s">
        <v>197</v>
      </c>
      <c r="G23" s="117" t="s">
        <v>6</v>
      </c>
      <c r="H23" s="117" t="s">
        <v>1029</v>
      </c>
      <c r="I23" s="117"/>
      <c r="J23" s="117"/>
      <c r="K23" s="117"/>
      <c r="L23" s="117"/>
      <c r="M23" s="117"/>
      <c r="N23" s="117"/>
      <c r="O23" s="120" t="s">
        <v>1030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15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R26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90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92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10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10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1053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1054</v>
      </c>
      <c r="B12" s="118" t="s">
        <v>1055</v>
      </c>
      <c r="C12" s="118" t="s">
        <v>1056</v>
      </c>
      <c r="D12" s="119" t="s">
        <v>681</v>
      </c>
      <c r="E12" s="119" t="s">
        <v>915</v>
      </c>
      <c r="F12" s="117" t="s">
        <v>197</v>
      </c>
      <c r="G12" s="117" t="s">
        <v>671</v>
      </c>
      <c r="H12" s="117" t="s">
        <v>1029</v>
      </c>
      <c r="I12" s="117"/>
      <c r="J12" s="117"/>
      <c r="K12" s="117"/>
      <c r="L12" s="117"/>
      <c r="M12" s="117"/>
      <c r="N12" s="117"/>
      <c r="O12" s="120" t="s">
        <v>1057</v>
      </c>
    </row>
    <row r="13" spans="1:18" ht="15.75" customHeight="1" outlineLevel="1">
      <c r="A13" s="114" t="s">
        <v>1058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93.95" customHeight="1" outlineLevel="1">
      <c r="A14" s="117" t="s">
        <v>1059</v>
      </c>
      <c r="B14" s="118" t="s">
        <v>1060</v>
      </c>
      <c r="C14" s="118" t="s">
        <v>1061</v>
      </c>
      <c r="D14" s="119" t="s">
        <v>681</v>
      </c>
      <c r="E14" s="119" t="s">
        <v>966</v>
      </c>
      <c r="F14" s="117" t="s">
        <v>197</v>
      </c>
      <c r="G14" s="117" t="s">
        <v>671</v>
      </c>
      <c r="H14" s="117" t="s">
        <v>1029</v>
      </c>
      <c r="I14" s="117"/>
      <c r="J14" s="117"/>
      <c r="K14" s="117"/>
      <c r="L14" s="117"/>
      <c r="M14" s="117"/>
      <c r="N14" s="117"/>
      <c r="O14" s="120" t="s">
        <v>1057</v>
      </c>
    </row>
    <row r="15" spans="1:18" s="21" customFormat="1" ht="15.75" customHeight="1">
      <c r="A15" s="114" t="s">
        <v>988</v>
      </c>
      <c r="B15" s="114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6"/>
    </row>
    <row r="16" spans="1:18" ht="93.95" customHeight="1" outlineLevel="1">
      <c r="A16" s="117" t="s">
        <v>1062</v>
      </c>
      <c r="B16" s="118" t="s">
        <v>990</v>
      </c>
      <c r="C16" s="118" t="s">
        <v>991</v>
      </c>
      <c r="D16" s="119" t="s">
        <v>260</v>
      </c>
      <c r="E16" s="119" t="s">
        <v>966</v>
      </c>
      <c r="F16" s="117" t="s">
        <v>197</v>
      </c>
      <c r="G16" s="117" t="s">
        <v>671</v>
      </c>
      <c r="H16" s="117" t="s">
        <v>1029</v>
      </c>
      <c r="I16" s="117"/>
      <c r="J16" s="117"/>
      <c r="K16" s="117"/>
      <c r="L16" s="117"/>
      <c r="M16" s="117"/>
      <c r="N16" s="117"/>
      <c r="O16" s="120" t="s">
        <v>1057</v>
      </c>
    </row>
    <row r="17" spans="1:15" ht="123.95" customHeight="1" outlineLevel="1">
      <c r="A17" s="117" t="s">
        <v>1063</v>
      </c>
      <c r="B17" s="118" t="s">
        <v>993</v>
      </c>
      <c r="C17" s="118" t="s">
        <v>994</v>
      </c>
      <c r="D17" s="119" t="s">
        <v>242</v>
      </c>
      <c r="E17" s="119" t="s">
        <v>966</v>
      </c>
      <c r="F17" s="117" t="s">
        <v>197</v>
      </c>
      <c r="G17" s="117" t="s">
        <v>671</v>
      </c>
      <c r="H17" s="117" t="s">
        <v>1029</v>
      </c>
      <c r="I17" s="117"/>
      <c r="J17" s="117"/>
      <c r="K17" s="117"/>
      <c r="L17" s="117"/>
      <c r="M17" s="117"/>
      <c r="N17" s="117"/>
      <c r="O17" s="120" t="s">
        <v>1057</v>
      </c>
    </row>
    <row r="18" spans="1:15" s="21" customFormat="1" ht="15.75" customHeight="1">
      <c r="A18" s="114" t="s">
        <v>1064</v>
      </c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</row>
    <row r="19" spans="1:15" ht="78.95" customHeight="1" outlineLevel="1">
      <c r="A19" s="117" t="s">
        <v>1065</v>
      </c>
      <c r="B19" s="118" t="s">
        <v>1066</v>
      </c>
      <c r="C19" s="118" t="s">
        <v>1067</v>
      </c>
      <c r="D19" s="119" t="s">
        <v>238</v>
      </c>
      <c r="E19" s="119" t="s">
        <v>878</v>
      </c>
      <c r="F19" s="117" t="s">
        <v>197</v>
      </c>
      <c r="G19" s="117" t="s">
        <v>671</v>
      </c>
      <c r="H19" s="117" t="s">
        <v>1029</v>
      </c>
      <c r="I19" s="117"/>
      <c r="J19" s="117"/>
      <c r="K19" s="117"/>
      <c r="L19" s="117"/>
      <c r="M19" s="117"/>
      <c r="N19" s="117"/>
      <c r="O19" s="120" t="s">
        <v>1057</v>
      </c>
    </row>
    <row r="20" spans="1:15" ht="123.95" customHeight="1">
      <c r="A20" s="117" t="s">
        <v>1068</v>
      </c>
      <c r="B20" s="118" t="s">
        <v>1069</v>
      </c>
      <c r="C20" s="118" t="s">
        <v>1070</v>
      </c>
      <c r="D20" s="119" t="s">
        <v>242</v>
      </c>
      <c r="E20" s="119" t="s">
        <v>878</v>
      </c>
      <c r="F20" s="117" t="s">
        <v>197</v>
      </c>
      <c r="G20" s="117" t="s">
        <v>671</v>
      </c>
      <c r="H20" s="117" t="s">
        <v>1029</v>
      </c>
      <c r="I20" s="117"/>
      <c r="J20" s="117"/>
      <c r="K20" s="117"/>
      <c r="L20" s="117"/>
      <c r="M20" s="117"/>
      <c r="N20" s="117"/>
      <c r="O20" s="120" t="s">
        <v>1057</v>
      </c>
    </row>
    <row r="21" spans="1:15" ht="15.75" customHeight="1">
      <c r="A21" s="114" t="s">
        <v>1071</v>
      </c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6"/>
    </row>
    <row r="22" spans="1:15" ht="93.95" customHeight="1">
      <c r="A22" s="117" t="s">
        <v>1072</v>
      </c>
      <c r="B22" s="118" t="s">
        <v>1073</v>
      </c>
      <c r="C22" s="118" t="s">
        <v>1074</v>
      </c>
      <c r="D22" s="119" t="s">
        <v>238</v>
      </c>
      <c r="E22" s="119" t="s">
        <v>915</v>
      </c>
      <c r="F22" s="117" t="s">
        <v>197</v>
      </c>
      <c r="G22" s="117" t="s">
        <v>671</v>
      </c>
      <c r="H22" s="117" t="s">
        <v>1029</v>
      </c>
      <c r="I22" s="117"/>
      <c r="J22" s="117"/>
      <c r="K22" s="117"/>
      <c r="L22" s="117"/>
      <c r="M22" s="117"/>
      <c r="N22" s="117"/>
      <c r="O22" s="120" t="s">
        <v>1057</v>
      </c>
    </row>
    <row r="23" spans="1:15" ht="123.95" customHeight="1">
      <c r="A23" s="117" t="s">
        <v>1075</v>
      </c>
      <c r="B23" s="118" t="s">
        <v>1076</v>
      </c>
      <c r="C23" s="118" t="s">
        <v>1077</v>
      </c>
      <c r="D23" s="119" t="s">
        <v>242</v>
      </c>
      <c r="E23" s="119" t="s">
        <v>915</v>
      </c>
      <c r="F23" s="117" t="s">
        <v>197</v>
      </c>
      <c r="G23" s="117" t="s">
        <v>671</v>
      </c>
      <c r="H23" s="117" t="s">
        <v>1029</v>
      </c>
      <c r="I23" s="117"/>
      <c r="J23" s="117"/>
      <c r="K23" s="117"/>
      <c r="L23" s="117"/>
      <c r="M23" s="117"/>
      <c r="N23" s="117"/>
      <c r="O23" s="120" t="s">
        <v>1057</v>
      </c>
    </row>
    <row r="24" spans="1:15" ht="15.75" customHeight="1">
      <c r="A24" s="114" t="s">
        <v>293</v>
      </c>
      <c r="B24" s="114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6"/>
    </row>
    <row r="25" spans="1:15" ht="78.95" customHeight="1">
      <c r="A25" s="117" t="s">
        <v>1078</v>
      </c>
      <c r="B25" s="118" t="s">
        <v>803</v>
      </c>
      <c r="C25" s="118" t="s">
        <v>1079</v>
      </c>
      <c r="D25" s="119" t="s">
        <v>805</v>
      </c>
      <c r="E25" s="119" t="s">
        <v>806</v>
      </c>
      <c r="F25" s="117" t="s">
        <v>197</v>
      </c>
      <c r="G25" s="117" t="s">
        <v>671</v>
      </c>
      <c r="H25" s="117" t="s">
        <v>1029</v>
      </c>
      <c r="I25" s="117"/>
      <c r="J25" s="117"/>
      <c r="K25" s="117"/>
      <c r="L25" s="117"/>
      <c r="M25" s="117"/>
      <c r="N25" s="117"/>
      <c r="O25" s="120" t="s">
        <v>1057</v>
      </c>
    </row>
    <row r="26" spans="1:15" ht="108.95" customHeight="1">
      <c r="A26" s="117" t="s">
        <v>1080</v>
      </c>
      <c r="B26" s="118" t="s">
        <v>808</v>
      </c>
      <c r="C26" s="118" t="s">
        <v>1081</v>
      </c>
      <c r="D26" s="119" t="s">
        <v>810</v>
      </c>
      <c r="E26" s="119" t="s">
        <v>811</v>
      </c>
      <c r="F26" s="117" t="s">
        <v>197</v>
      </c>
      <c r="G26" s="117" t="s">
        <v>671</v>
      </c>
      <c r="H26" s="117" t="s">
        <v>1029</v>
      </c>
      <c r="I26" s="117"/>
      <c r="J26" s="117"/>
      <c r="K26" s="117"/>
      <c r="L26" s="117"/>
      <c r="M26" s="117"/>
      <c r="N26" s="117"/>
      <c r="O26" s="120" t="s">
        <v>1057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16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R22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93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95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7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7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1082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1083</v>
      </c>
      <c r="B12" s="118" t="s">
        <v>1084</v>
      </c>
      <c r="C12" s="118" t="s">
        <v>1085</v>
      </c>
      <c r="D12" s="119" t="s">
        <v>681</v>
      </c>
      <c r="E12" s="119" t="s">
        <v>1028</v>
      </c>
      <c r="F12" s="117" t="s">
        <v>197</v>
      </c>
      <c r="G12" s="117" t="s">
        <v>1086</v>
      </c>
      <c r="H12" s="117" t="s">
        <v>1029</v>
      </c>
      <c r="I12" s="117"/>
      <c r="J12" s="117"/>
      <c r="K12" s="117"/>
      <c r="L12" s="117"/>
      <c r="M12" s="117"/>
      <c r="N12" s="117"/>
      <c r="O12" s="120" t="s">
        <v>1087</v>
      </c>
    </row>
    <row r="13" spans="1:18" ht="15.75" customHeight="1" outlineLevel="1">
      <c r="A13" s="114" t="s">
        <v>1088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93.95" customHeight="1" outlineLevel="1">
      <c r="A14" s="117" t="s">
        <v>1089</v>
      </c>
      <c r="B14" s="118" t="s">
        <v>1090</v>
      </c>
      <c r="C14" s="118" t="s">
        <v>1091</v>
      </c>
      <c r="D14" s="119" t="s">
        <v>260</v>
      </c>
      <c r="E14" s="119" t="s">
        <v>1028</v>
      </c>
      <c r="F14" s="117" t="s">
        <v>197</v>
      </c>
      <c r="G14" s="117" t="s">
        <v>1086</v>
      </c>
      <c r="H14" s="117" t="s">
        <v>1029</v>
      </c>
      <c r="I14" s="117"/>
      <c r="J14" s="117"/>
      <c r="K14" s="117"/>
      <c r="L14" s="117"/>
      <c r="M14" s="117"/>
      <c r="N14" s="117"/>
      <c r="O14" s="120" t="s">
        <v>1087</v>
      </c>
    </row>
    <row r="15" spans="1:18" s="21" customFormat="1" ht="123.95" customHeight="1">
      <c r="A15" s="117" t="s">
        <v>1092</v>
      </c>
      <c r="B15" s="118" t="s">
        <v>1093</v>
      </c>
      <c r="C15" s="118" t="s">
        <v>1094</v>
      </c>
      <c r="D15" s="119" t="s">
        <v>242</v>
      </c>
      <c r="E15" s="119" t="s">
        <v>1028</v>
      </c>
      <c r="F15" s="117" t="s">
        <v>197</v>
      </c>
      <c r="G15" s="117" t="s">
        <v>1086</v>
      </c>
      <c r="H15" s="117" t="s">
        <v>1029</v>
      </c>
      <c r="I15" s="117"/>
      <c r="J15" s="117"/>
      <c r="K15" s="117"/>
      <c r="L15" s="117"/>
      <c r="M15" s="117"/>
      <c r="N15" s="117"/>
      <c r="O15" s="120" t="s">
        <v>1087</v>
      </c>
    </row>
    <row r="16" spans="1:18" ht="15.75" customHeight="1" outlineLevel="1">
      <c r="A16" s="114" t="s">
        <v>1095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63.95" customHeight="1" outlineLevel="1">
      <c r="A17" s="117" t="s">
        <v>1096</v>
      </c>
      <c r="B17" s="118" t="s">
        <v>1097</v>
      </c>
      <c r="C17" s="118" t="s">
        <v>1098</v>
      </c>
      <c r="D17" s="119" t="s">
        <v>225</v>
      </c>
      <c r="E17" s="119" t="s">
        <v>878</v>
      </c>
      <c r="F17" s="117" t="s">
        <v>197</v>
      </c>
      <c r="G17" s="117" t="s">
        <v>1086</v>
      </c>
      <c r="H17" s="117" t="s">
        <v>1029</v>
      </c>
      <c r="I17" s="117"/>
      <c r="J17" s="117"/>
      <c r="K17" s="117"/>
      <c r="L17" s="117"/>
      <c r="M17" s="117"/>
      <c r="N17" s="117"/>
      <c r="O17" s="120" t="s">
        <v>1087</v>
      </c>
    </row>
    <row r="18" spans="1:15" s="21" customFormat="1" ht="15.75" customHeight="1">
      <c r="A18" s="114" t="s">
        <v>1099</v>
      </c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</row>
    <row r="19" spans="1:15" ht="63.95" customHeight="1" outlineLevel="1">
      <c r="A19" s="117" t="s">
        <v>1100</v>
      </c>
      <c r="B19" s="118" t="s">
        <v>1101</v>
      </c>
      <c r="C19" s="118" t="s">
        <v>1102</v>
      </c>
      <c r="D19" s="119" t="s">
        <v>225</v>
      </c>
      <c r="E19" s="119" t="s">
        <v>1103</v>
      </c>
      <c r="F19" s="117" t="s">
        <v>197</v>
      </c>
      <c r="G19" s="117" t="s">
        <v>1086</v>
      </c>
      <c r="H19" s="117" t="s">
        <v>1029</v>
      </c>
      <c r="I19" s="117"/>
      <c r="J19" s="117"/>
      <c r="K19" s="117"/>
      <c r="L19" s="117"/>
      <c r="M19" s="117"/>
      <c r="N19" s="117"/>
      <c r="O19" s="120" t="s">
        <v>1087</v>
      </c>
    </row>
    <row r="20" spans="1:15" ht="15.75" customHeight="1">
      <c r="A20" s="114" t="s">
        <v>293</v>
      </c>
      <c r="B20" s="114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6"/>
    </row>
    <row r="21" spans="1:15" ht="78.95" customHeight="1">
      <c r="A21" s="117" t="s">
        <v>1104</v>
      </c>
      <c r="B21" s="118" t="s">
        <v>803</v>
      </c>
      <c r="C21" s="118" t="s">
        <v>1105</v>
      </c>
      <c r="D21" s="119" t="s">
        <v>805</v>
      </c>
      <c r="E21" s="119" t="s">
        <v>806</v>
      </c>
      <c r="F21" s="117" t="s">
        <v>197</v>
      </c>
      <c r="G21" s="117" t="s">
        <v>1086</v>
      </c>
      <c r="H21" s="117" t="s">
        <v>1029</v>
      </c>
      <c r="I21" s="117"/>
      <c r="J21" s="117"/>
      <c r="K21" s="117"/>
      <c r="L21" s="117"/>
      <c r="M21" s="117"/>
      <c r="N21" s="117"/>
      <c r="O21" s="120" t="s">
        <v>1087</v>
      </c>
    </row>
    <row r="22" spans="1:15" ht="108.95" customHeight="1">
      <c r="A22" s="117" t="s">
        <v>1106</v>
      </c>
      <c r="B22" s="118" t="s">
        <v>808</v>
      </c>
      <c r="C22" s="118" t="s">
        <v>1107</v>
      </c>
      <c r="D22" s="119" t="s">
        <v>810</v>
      </c>
      <c r="E22" s="119" t="s">
        <v>811</v>
      </c>
      <c r="F22" s="117" t="s">
        <v>197</v>
      </c>
      <c r="G22" s="117" t="s">
        <v>1086</v>
      </c>
      <c r="H22" s="117" t="s">
        <v>1029</v>
      </c>
      <c r="I22" s="117"/>
      <c r="J22" s="117"/>
      <c r="K22" s="117"/>
      <c r="L22" s="117"/>
      <c r="M22" s="117"/>
      <c r="N22" s="117"/>
      <c r="O22" s="120" t="s">
        <v>1087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17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R25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96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98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9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9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1108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1109</v>
      </c>
      <c r="B12" s="118" t="s">
        <v>1110</v>
      </c>
      <c r="C12" s="118" t="s">
        <v>1111</v>
      </c>
      <c r="D12" s="119" t="s">
        <v>247</v>
      </c>
      <c r="E12" s="119" t="s">
        <v>686</v>
      </c>
      <c r="F12" s="117" t="s">
        <v>197</v>
      </c>
      <c r="G12" s="117" t="s">
        <v>671</v>
      </c>
      <c r="H12" s="117" t="s">
        <v>1112</v>
      </c>
      <c r="I12" s="117"/>
      <c r="J12" s="117"/>
      <c r="K12" s="117"/>
      <c r="L12" s="117"/>
      <c r="M12" s="117"/>
      <c r="N12" s="117"/>
      <c r="O12" s="120" t="s">
        <v>1113</v>
      </c>
    </row>
    <row r="13" spans="1:18" ht="123.95" customHeight="1" outlineLevel="1">
      <c r="A13" s="117" t="s">
        <v>1114</v>
      </c>
      <c r="B13" s="118" t="s">
        <v>1115</v>
      </c>
      <c r="C13" s="118" t="s">
        <v>1116</v>
      </c>
      <c r="D13" s="119" t="s">
        <v>242</v>
      </c>
      <c r="E13" s="119" t="s">
        <v>686</v>
      </c>
      <c r="F13" s="117" t="s">
        <v>197</v>
      </c>
      <c r="G13" s="117" t="s">
        <v>671</v>
      </c>
      <c r="H13" s="117" t="s">
        <v>1112</v>
      </c>
      <c r="I13" s="117"/>
      <c r="J13" s="117"/>
      <c r="K13" s="117"/>
      <c r="L13" s="117"/>
      <c r="M13" s="117"/>
      <c r="N13" s="117"/>
      <c r="O13" s="120" t="s">
        <v>1113</v>
      </c>
    </row>
    <row r="14" spans="1:18" ht="15.75" customHeight="1" outlineLevel="1">
      <c r="A14" s="114" t="s">
        <v>1117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78.95" customHeight="1">
      <c r="A15" s="117" t="s">
        <v>1118</v>
      </c>
      <c r="B15" s="118" t="s">
        <v>1119</v>
      </c>
      <c r="C15" s="118" t="s">
        <v>1120</v>
      </c>
      <c r="D15" s="119" t="s">
        <v>681</v>
      </c>
      <c r="E15" s="119" t="s">
        <v>670</v>
      </c>
      <c r="F15" s="117" t="s">
        <v>197</v>
      </c>
      <c r="G15" s="117" t="s">
        <v>671</v>
      </c>
      <c r="H15" s="117" t="s">
        <v>1112</v>
      </c>
      <c r="I15" s="117"/>
      <c r="J15" s="117"/>
      <c r="K15" s="117"/>
      <c r="L15" s="117"/>
      <c r="M15" s="117"/>
      <c r="N15" s="117"/>
      <c r="O15" s="120" t="s">
        <v>1113</v>
      </c>
    </row>
    <row r="16" spans="1:18" ht="15.75" customHeight="1" outlineLevel="1">
      <c r="A16" s="114" t="s">
        <v>1121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78.95" customHeight="1" outlineLevel="1">
      <c r="A17" s="117" t="s">
        <v>1122</v>
      </c>
      <c r="B17" s="118" t="s">
        <v>1123</v>
      </c>
      <c r="C17" s="118" t="s">
        <v>1124</v>
      </c>
      <c r="D17" s="119" t="s">
        <v>681</v>
      </c>
      <c r="E17" s="119" t="s">
        <v>670</v>
      </c>
      <c r="F17" s="117" t="s">
        <v>197</v>
      </c>
      <c r="G17" s="117" t="s">
        <v>671</v>
      </c>
      <c r="H17" s="117" t="s">
        <v>1112</v>
      </c>
      <c r="I17" s="117"/>
      <c r="J17" s="117"/>
      <c r="K17" s="117"/>
      <c r="L17" s="117"/>
      <c r="M17" s="117"/>
      <c r="N17" s="117"/>
      <c r="O17" s="120" t="s">
        <v>1113</v>
      </c>
    </row>
    <row r="18" spans="1:15" s="21" customFormat="1" ht="15.75" customHeight="1">
      <c r="A18" s="114" t="s">
        <v>1125</v>
      </c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</row>
    <row r="19" spans="1:15" ht="93.95" customHeight="1" outlineLevel="1">
      <c r="A19" s="117" t="s">
        <v>1126</v>
      </c>
      <c r="B19" s="118" t="s">
        <v>1127</v>
      </c>
      <c r="C19" s="118" t="s">
        <v>1128</v>
      </c>
      <c r="D19" s="119" t="s">
        <v>238</v>
      </c>
      <c r="E19" s="119" t="s">
        <v>670</v>
      </c>
      <c r="F19" s="117" t="s">
        <v>197</v>
      </c>
      <c r="G19" s="117" t="s">
        <v>671</v>
      </c>
      <c r="H19" s="117" t="s">
        <v>1112</v>
      </c>
      <c r="I19" s="117"/>
      <c r="J19" s="117"/>
      <c r="K19" s="117"/>
      <c r="L19" s="117"/>
      <c r="M19" s="117"/>
      <c r="N19" s="117"/>
      <c r="O19" s="120" t="s">
        <v>1113</v>
      </c>
    </row>
    <row r="20" spans="1:15" ht="123.95" customHeight="1">
      <c r="A20" s="117" t="s">
        <v>1129</v>
      </c>
      <c r="B20" s="118" t="s">
        <v>1130</v>
      </c>
      <c r="C20" s="118" t="s">
        <v>1131</v>
      </c>
      <c r="D20" s="119" t="s">
        <v>242</v>
      </c>
      <c r="E20" s="119" t="s">
        <v>670</v>
      </c>
      <c r="F20" s="117" t="s">
        <v>197</v>
      </c>
      <c r="G20" s="117" t="s">
        <v>671</v>
      </c>
      <c r="H20" s="117" t="s">
        <v>1112</v>
      </c>
      <c r="I20" s="117"/>
      <c r="J20" s="117"/>
      <c r="K20" s="117"/>
      <c r="L20" s="117"/>
      <c r="M20" s="117"/>
      <c r="N20" s="117"/>
      <c r="O20" s="120" t="s">
        <v>1113</v>
      </c>
    </row>
    <row r="21" spans="1:15" ht="15.75" customHeight="1">
      <c r="A21" s="114" t="s">
        <v>1132</v>
      </c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6"/>
    </row>
    <row r="22" spans="1:15" ht="78.95" customHeight="1">
      <c r="A22" s="117" t="s">
        <v>1133</v>
      </c>
      <c r="B22" s="118" t="s">
        <v>1134</v>
      </c>
      <c r="C22" s="118" t="s">
        <v>1135</v>
      </c>
      <c r="D22" s="119" t="s">
        <v>681</v>
      </c>
      <c r="E22" s="119" t="s">
        <v>686</v>
      </c>
      <c r="F22" s="117" t="s">
        <v>197</v>
      </c>
      <c r="G22" s="117" t="s">
        <v>671</v>
      </c>
      <c r="H22" s="117" t="s">
        <v>1112</v>
      </c>
      <c r="I22" s="117"/>
      <c r="J22" s="117"/>
      <c r="K22" s="117"/>
      <c r="L22" s="117"/>
      <c r="M22" s="117"/>
      <c r="N22" s="117"/>
      <c r="O22" s="120" t="s">
        <v>1113</v>
      </c>
    </row>
    <row r="23" spans="1:15" ht="15.75" customHeight="1">
      <c r="A23" s="114" t="s">
        <v>293</v>
      </c>
      <c r="B23" s="114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6"/>
    </row>
    <row r="24" spans="1:15" ht="78.95" customHeight="1">
      <c r="A24" s="117" t="s">
        <v>1136</v>
      </c>
      <c r="B24" s="118" t="s">
        <v>803</v>
      </c>
      <c r="C24" s="118" t="s">
        <v>1137</v>
      </c>
      <c r="D24" s="119" t="s">
        <v>805</v>
      </c>
      <c r="E24" s="119" t="s">
        <v>806</v>
      </c>
      <c r="F24" s="117" t="s">
        <v>197</v>
      </c>
      <c r="G24" s="117" t="s">
        <v>671</v>
      </c>
      <c r="H24" s="117" t="s">
        <v>1112</v>
      </c>
      <c r="I24" s="117"/>
      <c r="J24" s="117"/>
      <c r="K24" s="117"/>
      <c r="L24" s="117"/>
      <c r="M24" s="117"/>
      <c r="N24" s="117"/>
      <c r="O24" s="120" t="s">
        <v>1113</v>
      </c>
    </row>
    <row r="25" spans="1:15" ht="93.95" customHeight="1">
      <c r="A25" s="117" t="s">
        <v>1138</v>
      </c>
      <c r="B25" s="118" t="s">
        <v>808</v>
      </c>
      <c r="C25" s="118" t="s">
        <v>1139</v>
      </c>
      <c r="D25" s="119" t="s">
        <v>810</v>
      </c>
      <c r="E25" s="119" t="s">
        <v>811</v>
      </c>
      <c r="F25" s="117" t="s">
        <v>197</v>
      </c>
      <c r="G25" s="117" t="s">
        <v>671</v>
      </c>
      <c r="H25" s="117" t="s">
        <v>1112</v>
      </c>
      <c r="I25" s="117"/>
      <c r="J25" s="117"/>
      <c r="K25" s="117"/>
      <c r="L25" s="117"/>
      <c r="M25" s="117"/>
      <c r="N25" s="117"/>
      <c r="O25" s="120" t="s">
        <v>1113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18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99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101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5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5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1140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1141</v>
      </c>
      <c r="B12" s="118" t="s">
        <v>1142</v>
      </c>
      <c r="C12" s="118" t="s">
        <v>1143</v>
      </c>
      <c r="D12" s="119" t="s">
        <v>238</v>
      </c>
      <c r="E12" s="119" t="s">
        <v>686</v>
      </c>
      <c r="F12" s="117" t="s">
        <v>197</v>
      </c>
      <c r="G12" s="117" t="s">
        <v>671</v>
      </c>
      <c r="H12" s="117" t="s">
        <v>1029</v>
      </c>
      <c r="I12" s="117"/>
      <c r="J12" s="117"/>
      <c r="K12" s="117"/>
      <c r="L12" s="117"/>
      <c r="M12" s="117"/>
      <c r="N12" s="117"/>
      <c r="O12" s="120" t="s">
        <v>1144</v>
      </c>
    </row>
    <row r="13" spans="1:18" ht="123.95" customHeight="1" outlineLevel="1">
      <c r="A13" s="117" t="s">
        <v>1145</v>
      </c>
      <c r="B13" s="118" t="s">
        <v>1146</v>
      </c>
      <c r="C13" s="118" t="s">
        <v>1147</v>
      </c>
      <c r="D13" s="119" t="s">
        <v>242</v>
      </c>
      <c r="E13" s="119" t="s">
        <v>686</v>
      </c>
      <c r="F13" s="117" t="s">
        <v>197</v>
      </c>
      <c r="G13" s="117" t="s">
        <v>671</v>
      </c>
      <c r="H13" s="117" t="s">
        <v>1029</v>
      </c>
      <c r="I13" s="117"/>
      <c r="J13" s="117"/>
      <c r="K13" s="117"/>
      <c r="L13" s="117"/>
      <c r="M13" s="117"/>
      <c r="N13" s="117"/>
      <c r="O13" s="120" t="s">
        <v>1144</v>
      </c>
    </row>
    <row r="14" spans="1:18" ht="15.75" customHeight="1" outlineLevel="1">
      <c r="A14" s="114" t="s">
        <v>1148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78.95" customHeight="1">
      <c r="A15" s="117" t="s">
        <v>1149</v>
      </c>
      <c r="B15" s="118" t="s">
        <v>1150</v>
      </c>
      <c r="C15" s="118" t="s">
        <v>1151</v>
      </c>
      <c r="D15" s="119" t="s">
        <v>681</v>
      </c>
      <c r="E15" s="119" t="s">
        <v>686</v>
      </c>
      <c r="F15" s="117" t="s">
        <v>197</v>
      </c>
      <c r="G15" s="117" t="s">
        <v>671</v>
      </c>
      <c r="H15" s="117" t="s">
        <v>1029</v>
      </c>
      <c r="I15" s="117"/>
      <c r="J15" s="117"/>
      <c r="K15" s="117"/>
      <c r="L15" s="117"/>
      <c r="M15" s="117"/>
      <c r="N15" s="117"/>
      <c r="O15" s="120" t="s">
        <v>1144</v>
      </c>
    </row>
    <row r="16" spans="1:18" ht="15.75" customHeight="1" outlineLevel="1">
      <c r="A16" s="114" t="s">
        <v>293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78.95" customHeight="1" outlineLevel="1">
      <c r="A17" s="117" t="s">
        <v>1152</v>
      </c>
      <c r="B17" s="118" t="s">
        <v>803</v>
      </c>
      <c r="C17" s="118" t="s">
        <v>1153</v>
      </c>
      <c r="D17" s="119" t="s">
        <v>805</v>
      </c>
      <c r="E17" s="119" t="s">
        <v>806</v>
      </c>
      <c r="F17" s="117" t="s">
        <v>197</v>
      </c>
      <c r="G17" s="117" t="s">
        <v>671</v>
      </c>
      <c r="H17" s="117" t="s">
        <v>1029</v>
      </c>
      <c r="I17" s="117"/>
      <c r="J17" s="117"/>
      <c r="K17" s="117"/>
      <c r="L17" s="117"/>
      <c r="M17" s="117"/>
      <c r="N17" s="117"/>
      <c r="O17" s="120" t="s">
        <v>1144</v>
      </c>
    </row>
    <row r="18" spans="1:15" s="21" customFormat="1" ht="93.95" customHeight="1">
      <c r="A18" s="117" t="s">
        <v>1154</v>
      </c>
      <c r="B18" s="118" t="s">
        <v>808</v>
      </c>
      <c r="C18" s="118" t="s">
        <v>1155</v>
      </c>
      <c r="D18" s="119" t="s">
        <v>810</v>
      </c>
      <c r="E18" s="119" t="s">
        <v>811</v>
      </c>
      <c r="F18" s="117" t="s">
        <v>197</v>
      </c>
      <c r="G18" s="117" t="s">
        <v>671</v>
      </c>
      <c r="H18" s="117" t="s">
        <v>1029</v>
      </c>
      <c r="I18" s="117"/>
      <c r="J18" s="117"/>
      <c r="K18" s="117"/>
      <c r="L18" s="117"/>
      <c r="M18" s="117"/>
      <c r="N18" s="117"/>
      <c r="O18" s="120" t="s">
        <v>1144</v>
      </c>
    </row>
    <row r="19" spans="1:15" ht="14.1" customHeight="1" outlineLevel="1"/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19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102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104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5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5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1156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1157</v>
      </c>
      <c r="B12" s="118" t="s">
        <v>1158</v>
      </c>
      <c r="C12" s="118" t="s">
        <v>1159</v>
      </c>
      <c r="D12" s="119" t="s">
        <v>238</v>
      </c>
      <c r="E12" s="119" t="s">
        <v>686</v>
      </c>
      <c r="F12" s="117" t="s">
        <v>197</v>
      </c>
      <c r="G12" s="117" t="s">
        <v>671</v>
      </c>
      <c r="H12" s="117" t="s">
        <v>1029</v>
      </c>
      <c r="I12" s="117"/>
      <c r="J12" s="117"/>
      <c r="K12" s="117"/>
      <c r="L12" s="117"/>
      <c r="M12" s="117"/>
      <c r="N12" s="117"/>
      <c r="O12" s="120" t="s">
        <v>1144</v>
      </c>
    </row>
    <row r="13" spans="1:18" ht="123.95" customHeight="1" outlineLevel="1">
      <c r="A13" s="117" t="s">
        <v>1160</v>
      </c>
      <c r="B13" s="118" t="s">
        <v>1161</v>
      </c>
      <c r="C13" s="118" t="s">
        <v>1162</v>
      </c>
      <c r="D13" s="119" t="s">
        <v>242</v>
      </c>
      <c r="E13" s="119" t="s">
        <v>686</v>
      </c>
      <c r="F13" s="117" t="s">
        <v>197</v>
      </c>
      <c r="G13" s="117" t="s">
        <v>671</v>
      </c>
      <c r="H13" s="117" t="s">
        <v>1029</v>
      </c>
      <c r="I13" s="117"/>
      <c r="J13" s="117"/>
      <c r="K13" s="117"/>
      <c r="L13" s="117"/>
      <c r="M13" s="117"/>
      <c r="N13" s="117"/>
      <c r="O13" s="120" t="s">
        <v>1144</v>
      </c>
    </row>
    <row r="14" spans="1:18" ht="15.75" customHeight="1" outlineLevel="1">
      <c r="A14" s="114" t="s">
        <v>1163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78.95" customHeight="1">
      <c r="A15" s="117" t="s">
        <v>1164</v>
      </c>
      <c r="B15" s="118" t="s">
        <v>1165</v>
      </c>
      <c r="C15" s="118" t="s">
        <v>1166</v>
      </c>
      <c r="D15" s="119" t="s">
        <v>681</v>
      </c>
      <c r="E15" s="119" t="s">
        <v>686</v>
      </c>
      <c r="F15" s="117" t="s">
        <v>197</v>
      </c>
      <c r="G15" s="117" t="s">
        <v>671</v>
      </c>
      <c r="H15" s="117" t="s">
        <v>1029</v>
      </c>
      <c r="I15" s="117"/>
      <c r="J15" s="117"/>
      <c r="K15" s="117"/>
      <c r="L15" s="117"/>
      <c r="M15" s="117"/>
      <c r="N15" s="117"/>
      <c r="O15" s="120" t="s">
        <v>1144</v>
      </c>
    </row>
    <row r="16" spans="1:18" ht="15.75" customHeight="1" outlineLevel="1">
      <c r="A16" s="114" t="s">
        <v>293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78.95" customHeight="1" outlineLevel="1">
      <c r="A17" s="117" t="s">
        <v>1167</v>
      </c>
      <c r="B17" s="118" t="s">
        <v>803</v>
      </c>
      <c r="C17" s="118" t="s">
        <v>1168</v>
      </c>
      <c r="D17" s="119" t="s">
        <v>805</v>
      </c>
      <c r="E17" s="119" t="s">
        <v>806</v>
      </c>
      <c r="F17" s="117" t="s">
        <v>197</v>
      </c>
      <c r="G17" s="117" t="s">
        <v>671</v>
      </c>
      <c r="H17" s="117" t="s">
        <v>1029</v>
      </c>
      <c r="I17" s="117"/>
      <c r="J17" s="117"/>
      <c r="K17" s="117"/>
      <c r="L17" s="117"/>
      <c r="M17" s="117"/>
      <c r="N17" s="117"/>
      <c r="O17" s="120" t="s">
        <v>1144</v>
      </c>
    </row>
    <row r="18" spans="1:15" s="21" customFormat="1" ht="108.95" customHeight="1">
      <c r="A18" s="117" t="s">
        <v>1169</v>
      </c>
      <c r="B18" s="118" t="s">
        <v>808</v>
      </c>
      <c r="C18" s="118" t="s">
        <v>1170</v>
      </c>
      <c r="D18" s="119" t="s">
        <v>810</v>
      </c>
      <c r="E18" s="119" t="s">
        <v>811</v>
      </c>
      <c r="F18" s="117" t="s">
        <v>197</v>
      </c>
      <c r="G18" s="117" t="s">
        <v>671</v>
      </c>
      <c r="H18" s="117" t="s">
        <v>1029</v>
      </c>
      <c r="I18" s="117"/>
      <c r="J18" s="117"/>
      <c r="K18" s="117"/>
      <c r="L18" s="117"/>
      <c r="M18" s="117"/>
      <c r="N18" s="117"/>
      <c r="O18" s="120" t="s">
        <v>1144</v>
      </c>
    </row>
    <row r="19" spans="1:15" ht="14.1" customHeight="1" outlineLevel="1"/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1A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R19"/>
  <sheetViews>
    <sheetView topLeftCell="A9"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105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107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4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4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1171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1172</v>
      </c>
      <c r="B12" s="118" t="s">
        <v>1173</v>
      </c>
      <c r="C12" s="118" t="s">
        <v>1174</v>
      </c>
      <c r="D12" s="119" t="s">
        <v>238</v>
      </c>
      <c r="E12" s="119" t="s">
        <v>686</v>
      </c>
      <c r="F12" s="117" t="s">
        <v>197</v>
      </c>
      <c r="G12" s="117" t="s">
        <v>671</v>
      </c>
      <c r="H12" s="117" t="s">
        <v>1029</v>
      </c>
      <c r="I12" s="117"/>
      <c r="J12" s="117"/>
      <c r="K12" s="117"/>
      <c r="L12" s="117"/>
      <c r="M12" s="117"/>
      <c r="N12" s="117"/>
      <c r="O12" s="120" t="s">
        <v>1144</v>
      </c>
    </row>
    <row r="13" spans="1:18" ht="123.95" customHeight="1" outlineLevel="1">
      <c r="A13" s="117" t="s">
        <v>1175</v>
      </c>
      <c r="B13" s="118" t="s">
        <v>1176</v>
      </c>
      <c r="C13" s="118" t="s">
        <v>1177</v>
      </c>
      <c r="D13" s="119" t="s">
        <v>242</v>
      </c>
      <c r="E13" s="119" t="s">
        <v>686</v>
      </c>
      <c r="F13" s="117" t="s">
        <v>197</v>
      </c>
      <c r="G13" s="117" t="s">
        <v>671</v>
      </c>
      <c r="H13" s="117" t="s">
        <v>1029</v>
      </c>
      <c r="I13" s="117"/>
      <c r="J13" s="117"/>
      <c r="K13" s="117"/>
      <c r="L13" s="117"/>
      <c r="M13" s="117"/>
      <c r="N13" s="117"/>
      <c r="O13" s="120" t="s">
        <v>1144</v>
      </c>
    </row>
    <row r="14" spans="1:18" ht="15.75" customHeight="1" outlineLevel="1">
      <c r="A14" s="114" t="s">
        <v>293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78.95" customHeight="1">
      <c r="A15" s="117" t="s">
        <v>1178</v>
      </c>
      <c r="B15" s="118" t="s">
        <v>803</v>
      </c>
      <c r="C15" s="118" t="s">
        <v>1179</v>
      </c>
      <c r="D15" s="119" t="s">
        <v>805</v>
      </c>
      <c r="E15" s="119" t="s">
        <v>806</v>
      </c>
      <c r="F15" s="117" t="s">
        <v>197</v>
      </c>
      <c r="G15" s="117" t="s">
        <v>671</v>
      </c>
      <c r="H15" s="117" t="s">
        <v>1029</v>
      </c>
      <c r="I15" s="117"/>
      <c r="J15" s="117"/>
      <c r="K15" s="117"/>
      <c r="L15" s="117"/>
      <c r="M15" s="117"/>
      <c r="N15" s="117"/>
      <c r="O15" s="120" t="s">
        <v>1144</v>
      </c>
    </row>
    <row r="16" spans="1:18" ht="108.95" customHeight="1" outlineLevel="1">
      <c r="A16" s="117" t="s">
        <v>1180</v>
      </c>
      <c r="B16" s="118" t="s">
        <v>808</v>
      </c>
      <c r="C16" s="118" t="s">
        <v>1181</v>
      </c>
      <c r="D16" s="119" t="s">
        <v>810</v>
      </c>
      <c r="E16" s="119" t="s">
        <v>811</v>
      </c>
      <c r="F16" s="117" t="s">
        <v>197</v>
      </c>
      <c r="G16" s="117" t="s">
        <v>671</v>
      </c>
      <c r="H16" s="117" t="s">
        <v>1029</v>
      </c>
      <c r="I16" s="117"/>
      <c r="J16" s="117"/>
      <c r="K16" s="117"/>
      <c r="L16" s="117"/>
      <c r="M16" s="117"/>
      <c r="N16" s="117"/>
      <c r="O16" s="120" t="s">
        <v>1144</v>
      </c>
    </row>
    <row r="17" ht="14.1" customHeight="1" outlineLevel="1"/>
    <row r="18" s="21" customFormat="1" ht="15.75" customHeight="1"/>
    <row r="19" ht="14.1" customHeight="1" outlineLevel="1"/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1B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R21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108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110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7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7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1182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1183</v>
      </c>
      <c r="B12" s="118" t="s">
        <v>1184</v>
      </c>
      <c r="C12" s="118" t="s">
        <v>1185</v>
      </c>
      <c r="D12" s="119" t="s">
        <v>681</v>
      </c>
      <c r="E12" s="119" t="s">
        <v>686</v>
      </c>
      <c r="F12" s="117" t="s">
        <v>197</v>
      </c>
      <c r="G12" s="117" t="s">
        <v>6</v>
      </c>
      <c r="H12" s="117" t="s">
        <v>1029</v>
      </c>
      <c r="I12" s="117"/>
      <c r="J12" s="117"/>
      <c r="K12" s="117"/>
      <c r="L12" s="117"/>
      <c r="M12" s="117"/>
      <c r="N12" s="117"/>
      <c r="O12" s="120" t="s">
        <v>1186</v>
      </c>
    </row>
    <row r="13" spans="1:18" ht="15.75" customHeight="1" outlineLevel="1">
      <c r="A13" s="114" t="s">
        <v>1187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93.95" customHeight="1" outlineLevel="1">
      <c r="A14" s="117" t="s">
        <v>1188</v>
      </c>
      <c r="B14" s="118" t="s">
        <v>1189</v>
      </c>
      <c r="C14" s="118" t="s">
        <v>1190</v>
      </c>
      <c r="D14" s="119" t="s">
        <v>238</v>
      </c>
      <c r="E14" s="119" t="s">
        <v>686</v>
      </c>
      <c r="F14" s="117" t="s">
        <v>197</v>
      </c>
      <c r="G14" s="117" t="s">
        <v>6</v>
      </c>
      <c r="H14" s="117" t="s">
        <v>1029</v>
      </c>
      <c r="I14" s="117"/>
      <c r="J14" s="117"/>
      <c r="K14" s="117"/>
      <c r="L14" s="117"/>
      <c r="M14" s="117"/>
      <c r="N14" s="117"/>
      <c r="O14" s="120" t="s">
        <v>1186</v>
      </c>
    </row>
    <row r="15" spans="1:18" s="21" customFormat="1" ht="123.95" customHeight="1">
      <c r="A15" s="117" t="s">
        <v>1191</v>
      </c>
      <c r="B15" s="118" t="s">
        <v>1192</v>
      </c>
      <c r="C15" s="118" t="s">
        <v>1193</v>
      </c>
      <c r="D15" s="119" t="s">
        <v>242</v>
      </c>
      <c r="E15" s="119" t="s">
        <v>686</v>
      </c>
      <c r="F15" s="117" t="s">
        <v>197</v>
      </c>
      <c r="G15" s="117" t="s">
        <v>6</v>
      </c>
      <c r="H15" s="117" t="s">
        <v>1029</v>
      </c>
      <c r="I15" s="117"/>
      <c r="J15" s="117"/>
      <c r="K15" s="117"/>
      <c r="L15" s="117"/>
      <c r="M15" s="117"/>
      <c r="N15" s="117"/>
      <c r="O15" s="120" t="s">
        <v>1186</v>
      </c>
    </row>
    <row r="16" spans="1:18" ht="15.75" customHeight="1" outlineLevel="1">
      <c r="A16" s="114" t="s">
        <v>1194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108.95" customHeight="1" outlineLevel="1">
      <c r="A17" s="117" t="s">
        <v>1195</v>
      </c>
      <c r="B17" s="118" t="s">
        <v>1196</v>
      </c>
      <c r="C17" s="118" t="s">
        <v>1197</v>
      </c>
      <c r="D17" s="119" t="s">
        <v>238</v>
      </c>
      <c r="E17" s="119" t="s">
        <v>686</v>
      </c>
      <c r="F17" s="117" t="s">
        <v>197</v>
      </c>
      <c r="G17" s="117" t="s">
        <v>6</v>
      </c>
      <c r="H17" s="117" t="s">
        <v>1029</v>
      </c>
      <c r="I17" s="117"/>
      <c r="J17" s="117"/>
      <c r="K17" s="117"/>
      <c r="L17" s="117"/>
      <c r="M17" s="117"/>
      <c r="N17" s="117"/>
      <c r="O17" s="120" t="s">
        <v>1186</v>
      </c>
    </row>
    <row r="18" spans="1:15" s="21" customFormat="1" ht="138.94999999999999" customHeight="1">
      <c r="A18" s="117" t="s">
        <v>1198</v>
      </c>
      <c r="B18" s="118" t="s">
        <v>1199</v>
      </c>
      <c r="C18" s="118" t="s">
        <v>1200</v>
      </c>
      <c r="D18" s="119" t="s">
        <v>242</v>
      </c>
      <c r="E18" s="119" t="s">
        <v>686</v>
      </c>
      <c r="F18" s="117" t="s">
        <v>197</v>
      </c>
      <c r="G18" s="117" t="s">
        <v>6</v>
      </c>
      <c r="H18" s="117" t="s">
        <v>1029</v>
      </c>
      <c r="I18" s="117"/>
      <c r="J18" s="117"/>
      <c r="K18" s="117"/>
      <c r="L18" s="117"/>
      <c r="M18" s="117"/>
      <c r="N18" s="117"/>
      <c r="O18" s="120" t="s">
        <v>1186</v>
      </c>
    </row>
    <row r="19" spans="1:15" ht="15.75" customHeight="1" outlineLevel="1">
      <c r="A19" s="114" t="s">
        <v>293</v>
      </c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6"/>
    </row>
    <row r="20" spans="1:15" ht="78.95" customHeight="1">
      <c r="A20" s="117" t="s">
        <v>1201</v>
      </c>
      <c r="B20" s="118" t="s">
        <v>803</v>
      </c>
      <c r="C20" s="118" t="s">
        <v>1202</v>
      </c>
      <c r="D20" s="119" t="s">
        <v>805</v>
      </c>
      <c r="E20" s="119" t="s">
        <v>806</v>
      </c>
      <c r="F20" s="117" t="s">
        <v>197</v>
      </c>
      <c r="G20" s="117" t="s">
        <v>6</v>
      </c>
      <c r="H20" s="117" t="s">
        <v>1029</v>
      </c>
      <c r="I20" s="117"/>
      <c r="J20" s="117"/>
      <c r="K20" s="117"/>
      <c r="L20" s="117"/>
      <c r="M20" s="117"/>
      <c r="N20" s="117"/>
      <c r="O20" s="120" t="s">
        <v>1186</v>
      </c>
    </row>
    <row r="21" spans="1:15" ht="108.95" customHeight="1">
      <c r="A21" s="117" t="s">
        <v>1203</v>
      </c>
      <c r="B21" s="118" t="s">
        <v>808</v>
      </c>
      <c r="C21" s="118" t="s">
        <v>1204</v>
      </c>
      <c r="D21" s="119" t="s">
        <v>810</v>
      </c>
      <c r="E21" s="119" t="s">
        <v>811</v>
      </c>
      <c r="F21" s="117" t="s">
        <v>197</v>
      </c>
      <c r="G21" s="117" t="s">
        <v>6</v>
      </c>
      <c r="H21" s="117" t="s">
        <v>1029</v>
      </c>
      <c r="I21" s="117"/>
      <c r="J21" s="117"/>
      <c r="K21" s="117"/>
      <c r="L21" s="117"/>
      <c r="M21" s="117"/>
      <c r="N21" s="117"/>
      <c r="O21" s="120" t="s">
        <v>1186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1C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R4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111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113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25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25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1205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1206</v>
      </c>
      <c r="B12" s="118" t="s">
        <v>1207</v>
      </c>
      <c r="C12" s="118" t="s">
        <v>1208</v>
      </c>
      <c r="D12" s="119" t="s">
        <v>238</v>
      </c>
      <c r="E12" s="119" t="s">
        <v>1209</v>
      </c>
      <c r="F12" s="117" t="s">
        <v>197</v>
      </c>
      <c r="G12" s="117" t="s">
        <v>6</v>
      </c>
      <c r="H12" s="117" t="s">
        <v>654</v>
      </c>
      <c r="I12" s="117"/>
      <c r="J12" s="117"/>
      <c r="K12" s="117"/>
      <c r="L12" s="117"/>
      <c r="M12" s="117"/>
      <c r="N12" s="117"/>
      <c r="O12" s="120" t="s">
        <v>1210</v>
      </c>
    </row>
    <row r="13" spans="1:18" ht="123.95" customHeight="1" outlineLevel="1">
      <c r="A13" s="117" t="s">
        <v>1211</v>
      </c>
      <c r="B13" s="118" t="s">
        <v>1212</v>
      </c>
      <c r="C13" s="118" t="s">
        <v>1213</v>
      </c>
      <c r="D13" s="119" t="s">
        <v>242</v>
      </c>
      <c r="E13" s="119" t="s">
        <v>1209</v>
      </c>
      <c r="F13" s="117" t="s">
        <v>197</v>
      </c>
      <c r="G13" s="117" t="s">
        <v>6</v>
      </c>
      <c r="H13" s="117" t="s">
        <v>654</v>
      </c>
      <c r="I13" s="117"/>
      <c r="J13" s="117"/>
      <c r="K13" s="117"/>
      <c r="L13" s="117"/>
      <c r="M13" s="117"/>
      <c r="N13" s="117"/>
      <c r="O13" s="120" t="s">
        <v>1210</v>
      </c>
    </row>
    <row r="14" spans="1:18" ht="15.75" customHeight="1" outlineLevel="1">
      <c r="A14" s="114" t="s">
        <v>1214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93.95" customHeight="1">
      <c r="A15" s="117" t="s">
        <v>1215</v>
      </c>
      <c r="B15" s="118" t="s">
        <v>1216</v>
      </c>
      <c r="C15" s="118" t="s">
        <v>1217</v>
      </c>
      <c r="D15" s="119" t="s">
        <v>260</v>
      </c>
      <c r="E15" s="119" t="s">
        <v>830</v>
      </c>
      <c r="F15" s="117" t="s">
        <v>197</v>
      </c>
      <c r="G15" s="117" t="s">
        <v>6</v>
      </c>
      <c r="H15" s="117" t="s">
        <v>654</v>
      </c>
      <c r="I15" s="117"/>
      <c r="J15" s="117"/>
      <c r="K15" s="117"/>
      <c r="L15" s="117"/>
      <c r="M15" s="117"/>
      <c r="N15" s="117"/>
      <c r="O15" s="120" t="s">
        <v>1210</v>
      </c>
    </row>
    <row r="16" spans="1:18" ht="123.95" customHeight="1" outlineLevel="1">
      <c r="A16" s="117" t="s">
        <v>1218</v>
      </c>
      <c r="B16" s="118" t="s">
        <v>1219</v>
      </c>
      <c r="C16" s="118" t="s">
        <v>1220</v>
      </c>
      <c r="D16" s="119" t="s">
        <v>242</v>
      </c>
      <c r="E16" s="119" t="s">
        <v>830</v>
      </c>
      <c r="F16" s="117" t="s">
        <v>197</v>
      </c>
      <c r="G16" s="117" t="s">
        <v>6</v>
      </c>
      <c r="H16" s="117" t="s">
        <v>654</v>
      </c>
      <c r="I16" s="117"/>
      <c r="J16" s="117"/>
      <c r="K16" s="117"/>
      <c r="L16" s="117"/>
      <c r="M16" s="117"/>
      <c r="N16" s="117"/>
      <c r="O16" s="120" t="s">
        <v>1210</v>
      </c>
    </row>
    <row r="17" spans="1:15" ht="15.75" customHeight="1" outlineLevel="1">
      <c r="A17" s="114" t="s">
        <v>1148</v>
      </c>
      <c r="B17" s="114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6"/>
    </row>
    <row r="18" spans="1:15" s="21" customFormat="1" ht="78.95" customHeight="1">
      <c r="A18" s="117" t="s">
        <v>1221</v>
      </c>
      <c r="B18" s="118" t="s">
        <v>1150</v>
      </c>
      <c r="C18" s="118" t="s">
        <v>1222</v>
      </c>
      <c r="D18" s="119" t="s">
        <v>681</v>
      </c>
      <c r="E18" s="119" t="s">
        <v>830</v>
      </c>
      <c r="F18" s="117" t="s">
        <v>197</v>
      </c>
      <c r="G18" s="117" t="s">
        <v>6</v>
      </c>
      <c r="H18" s="117" t="s">
        <v>654</v>
      </c>
      <c r="I18" s="117"/>
      <c r="J18" s="117"/>
      <c r="K18" s="117"/>
      <c r="L18" s="117"/>
      <c r="M18" s="117"/>
      <c r="N18" s="117"/>
      <c r="O18" s="120" t="s">
        <v>1210</v>
      </c>
    </row>
    <row r="19" spans="1:15" ht="15.75" customHeight="1" outlineLevel="1">
      <c r="A19" s="114" t="s">
        <v>1223</v>
      </c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6"/>
    </row>
    <row r="20" spans="1:15" ht="78.95" customHeight="1">
      <c r="A20" s="117" t="s">
        <v>1224</v>
      </c>
      <c r="B20" s="118" t="s">
        <v>1225</v>
      </c>
      <c r="C20" s="118" t="s">
        <v>1226</v>
      </c>
      <c r="D20" s="119" t="s">
        <v>681</v>
      </c>
      <c r="E20" s="119" t="s">
        <v>1209</v>
      </c>
      <c r="F20" s="117" t="s">
        <v>197</v>
      </c>
      <c r="G20" s="117" t="s">
        <v>6</v>
      </c>
      <c r="H20" s="117" t="s">
        <v>654</v>
      </c>
      <c r="I20" s="117"/>
      <c r="J20" s="117"/>
      <c r="K20" s="117"/>
      <c r="L20" s="117"/>
      <c r="M20" s="117"/>
      <c r="N20" s="117"/>
      <c r="O20" s="120" t="s">
        <v>1210</v>
      </c>
    </row>
    <row r="21" spans="1:15" ht="15.75" customHeight="1">
      <c r="A21" s="114" t="s">
        <v>1227</v>
      </c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6"/>
    </row>
    <row r="22" spans="1:15" ht="93.95" customHeight="1">
      <c r="A22" s="117" t="s">
        <v>1228</v>
      </c>
      <c r="B22" s="118" t="s">
        <v>1229</v>
      </c>
      <c r="C22" s="118" t="s">
        <v>1230</v>
      </c>
      <c r="D22" s="119" t="s">
        <v>238</v>
      </c>
      <c r="E22" s="119" t="s">
        <v>1209</v>
      </c>
      <c r="F22" s="117" t="s">
        <v>197</v>
      </c>
      <c r="G22" s="117" t="s">
        <v>6</v>
      </c>
      <c r="H22" s="117" t="s">
        <v>654</v>
      </c>
      <c r="I22" s="117"/>
      <c r="J22" s="117"/>
      <c r="K22" s="117"/>
      <c r="L22" s="117"/>
      <c r="M22" s="117"/>
      <c r="N22" s="117"/>
      <c r="O22" s="120" t="s">
        <v>1210</v>
      </c>
    </row>
    <row r="23" spans="1:15" ht="123.95" customHeight="1">
      <c r="A23" s="117" t="s">
        <v>1231</v>
      </c>
      <c r="B23" s="118" t="s">
        <v>1232</v>
      </c>
      <c r="C23" s="118" t="s">
        <v>1233</v>
      </c>
      <c r="D23" s="119" t="s">
        <v>242</v>
      </c>
      <c r="E23" s="119" t="s">
        <v>1209</v>
      </c>
      <c r="F23" s="117" t="s">
        <v>197</v>
      </c>
      <c r="G23" s="117" t="s">
        <v>6</v>
      </c>
      <c r="H23" s="117" t="s">
        <v>654</v>
      </c>
      <c r="I23" s="117"/>
      <c r="J23" s="117"/>
      <c r="K23" s="117"/>
      <c r="L23" s="117"/>
      <c r="M23" s="117"/>
      <c r="N23" s="117"/>
      <c r="O23" s="120" t="s">
        <v>1210</v>
      </c>
    </row>
    <row r="24" spans="1:15" ht="15.75" customHeight="1">
      <c r="A24" s="114" t="s">
        <v>1234</v>
      </c>
      <c r="B24" s="114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6"/>
    </row>
    <row r="25" spans="1:15" ht="93.95" customHeight="1">
      <c r="A25" s="117" t="s">
        <v>1235</v>
      </c>
      <c r="B25" s="118" t="s">
        <v>1236</v>
      </c>
      <c r="C25" s="118" t="s">
        <v>1237</v>
      </c>
      <c r="D25" s="119" t="s">
        <v>238</v>
      </c>
      <c r="E25" s="119" t="s">
        <v>830</v>
      </c>
      <c r="F25" s="117" t="s">
        <v>197</v>
      </c>
      <c r="G25" s="117" t="s">
        <v>6</v>
      </c>
      <c r="H25" s="117" t="s">
        <v>654</v>
      </c>
      <c r="I25" s="117"/>
      <c r="J25" s="117"/>
      <c r="K25" s="117"/>
      <c r="L25" s="117"/>
      <c r="M25" s="117"/>
      <c r="N25" s="117"/>
      <c r="O25" s="120" t="s">
        <v>1210</v>
      </c>
    </row>
    <row r="26" spans="1:15" ht="123.95" customHeight="1">
      <c r="A26" s="117" t="s">
        <v>1238</v>
      </c>
      <c r="B26" s="118" t="s">
        <v>1239</v>
      </c>
      <c r="C26" s="118" t="s">
        <v>1240</v>
      </c>
      <c r="D26" s="119" t="s">
        <v>242</v>
      </c>
      <c r="E26" s="119" t="s">
        <v>830</v>
      </c>
      <c r="F26" s="117" t="s">
        <v>197</v>
      </c>
      <c r="G26" s="117" t="s">
        <v>6</v>
      </c>
      <c r="H26" s="117" t="s">
        <v>654</v>
      </c>
      <c r="I26" s="117"/>
      <c r="J26" s="117"/>
      <c r="K26" s="117"/>
      <c r="L26" s="117"/>
      <c r="M26" s="117"/>
      <c r="N26" s="117"/>
      <c r="O26" s="120" t="s">
        <v>1210</v>
      </c>
    </row>
    <row r="27" spans="1:15" ht="15.75" customHeight="1">
      <c r="A27" s="114" t="s">
        <v>1241</v>
      </c>
      <c r="B27" s="114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6"/>
    </row>
    <row r="28" spans="1:15" ht="93.95" customHeight="1">
      <c r="A28" s="117" t="s">
        <v>1242</v>
      </c>
      <c r="B28" s="118" t="s">
        <v>1243</v>
      </c>
      <c r="C28" s="118" t="s">
        <v>1244</v>
      </c>
      <c r="D28" s="119" t="s">
        <v>282</v>
      </c>
      <c r="E28" s="119" t="s">
        <v>830</v>
      </c>
      <c r="F28" s="117" t="s">
        <v>197</v>
      </c>
      <c r="G28" s="117" t="s">
        <v>6</v>
      </c>
      <c r="H28" s="117" t="s">
        <v>654</v>
      </c>
      <c r="I28" s="117"/>
      <c r="J28" s="117"/>
      <c r="K28" s="117"/>
      <c r="L28" s="117"/>
      <c r="M28" s="117"/>
      <c r="N28" s="117"/>
      <c r="O28" s="120" t="s">
        <v>1210</v>
      </c>
    </row>
    <row r="29" spans="1:15" ht="123.95" customHeight="1">
      <c r="A29" s="117" t="s">
        <v>1245</v>
      </c>
      <c r="B29" s="118" t="s">
        <v>1246</v>
      </c>
      <c r="C29" s="118" t="s">
        <v>1247</v>
      </c>
      <c r="D29" s="119" t="s">
        <v>242</v>
      </c>
      <c r="E29" s="119" t="s">
        <v>830</v>
      </c>
      <c r="F29" s="117" t="s">
        <v>197</v>
      </c>
      <c r="G29" s="117" t="s">
        <v>6</v>
      </c>
      <c r="H29" s="117" t="s">
        <v>654</v>
      </c>
      <c r="I29" s="117"/>
      <c r="J29" s="117"/>
      <c r="K29" s="117"/>
      <c r="L29" s="117"/>
      <c r="M29" s="117"/>
      <c r="N29" s="117"/>
      <c r="O29" s="120" t="s">
        <v>1210</v>
      </c>
    </row>
    <row r="30" spans="1:15" ht="15.75" customHeight="1">
      <c r="A30" s="114" t="s">
        <v>1248</v>
      </c>
      <c r="B30" s="114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6"/>
    </row>
    <row r="31" spans="1:15" ht="93.95" customHeight="1">
      <c r="A31" s="117" t="s">
        <v>1249</v>
      </c>
      <c r="B31" s="118" t="s">
        <v>1250</v>
      </c>
      <c r="C31" s="118" t="s">
        <v>1251</v>
      </c>
      <c r="D31" s="119" t="s">
        <v>238</v>
      </c>
      <c r="E31" s="119" t="s">
        <v>830</v>
      </c>
      <c r="F31" s="117" t="s">
        <v>197</v>
      </c>
      <c r="G31" s="117" t="s">
        <v>6</v>
      </c>
      <c r="H31" s="117" t="s">
        <v>654</v>
      </c>
      <c r="I31" s="117"/>
      <c r="J31" s="117"/>
      <c r="K31" s="117"/>
      <c r="L31" s="117"/>
      <c r="M31" s="117"/>
      <c r="N31" s="117"/>
      <c r="O31" s="120" t="s">
        <v>1210</v>
      </c>
    </row>
    <row r="32" spans="1:15" ht="123.95" customHeight="1">
      <c r="A32" s="117" t="s">
        <v>1252</v>
      </c>
      <c r="B32" s="118" t="s">
        <v>1253</v>
      </c>
      <c r="C32" s="118" t="s">
        <v>1254</v>
      </c>
      <c r="D32" s="119" t="s">
        <v>242</v>
      </c>
      <c r="E32" s="119" t="s">
        <v>830</v>
      </c>
      <c r="F32" s="117" t="s">
        <v>197</v>
      </c>
      <c r="G32" s="117" t="s">
        <v>6</v>
      </c>
      <c r="H32" s="117" t="s">
        <v>654</v>
      </c>
      <c r="I32" s="117"/>
      <c r="J32" s="117"/>
      <c r="K32" s="117"/>
      <c r="L32" s="117"/>
      <c r="M32" s="117"/>
      <c r="N32" s="117"/>
      <c r="O32" s="120" t="s">
        <v>1210</v>
      </c>
    </row>
    <row r="33" spans="1:15" ht="15.75" customHeight="1">
      <c r="A33" s="114" t="s">
        <v>1255</v>
      </c>
      <c r="B33" s="114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6"/>
    </row>
    <row r="34" spans="1:15" ht="78.95" customHeight="1">
      <c r="A34" s="117" t="s">
        <v>1256</v>
      </c>
      <c r="B34" s="118" t="s">
        <v>1257</v>
      </c>
      <c r="C34" s="118" t="s">
        <v>1258</v>
      </c>
      <c r="D34" s="119" t="s">
        <v>247</v>
      </c>
      <c r="E34" s="119" t="s">
        <v>830</v>
      </c>
      <c r="F34" s="117" t="s">
        <v>197</v>
      </c>
      <c r="G34" s="117" t="s">
        <v>6</v>
      </c>
      <c r="H34" s="117" t="s">
        <v>654</v>
      </c>
      <c r="I34" s="117"/>
      <c r="J34" s="117"/>
      <c r="K34" s="117"/>
      <c r="L34" s="117"/>
      <c r="M34" s="117"/>
      <c r="N34" s="117"/>
      <c r="O34" s="120" t="s">
        <v>1210</v>
      </c>
    </row>
    <row r="35" spans="1:15" ht="123.95" customHeight="1">
      <c r="A35" s="117" t="s">
        <v>1259</v>
      </c>
      <c r="B35" s="118" t="s">
        <v>1260</v>
      </c>
      <c r="C35" s="118" t="s">
        <v>1261</v>
      </c>
      <c r="D35" s="119" t="s">
        <v>242</v>
      </c>
      <c r="E35" s="119" t="s">
        <v>830</v>
      </c>
      <c r="F35" s="117" t="s">
        <v>197</v>
      </c>
      <c r="G35" s="117" t="s">
        <v>6</v>
      </c>
      <c r="H35" s="117" t="s">
        <v>654</v>
      </c>
      <c r="I35" s="117"/>
      <c r="J35" s="117"/>
      <c r="K35" s="117"/>
      <c r="L35" s="117"/>
      <c r="M35" s="117"/>
      <c r="N35" s="117"/>
      <c r="O35" s="120" t="s">
        <v>1210</v>
      </c>
    </row>
    <row r="36" spans="1:15" ht="15.75" customHeight="1">
      <c r="A36" s="114" t="s">
        <v>1262</v>
      </c>
      <c r="B36" s="114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6"/>
    </row>
    <row r="37" spans="1:15" ht="63.95" customHeight="1">
      <c r="A37" s="117" t="s">
        <v>1263</v>
      </c>
      <c r="B37" s="118" t="s">
        <v>1264</v>
      </c>
      <c r="C37" s="118" t="s">
        <v>1265</v>
      </c>
      <c r="D37" s="119" t="s">
        <v>225</v>
      </c>
      <c r="E37" s="119" t="s">
        <v>1103</v>
      </c>
      <c r="F37" s="117" t="s">
        <v>197</v>
      </c>
      <c r="G37" s="117" t="s">
        <v>6</v>
      </c>
      <c r="H37" s="117" t="s">
        <v>654</v>
      </c>
      <c r="I37" s="117"/>
      <c r="J37" s="117"/>
      <c r="K37" s="117"/>
      <c r="L37" s="117"/>
      <c r="M37" s="117"/>
      <c r="N37" s="117"/>
      <c r="O37" s="120" t="s">
        <v>1210</v>
      </c>
    </row>
    <row r="38" spans="1:15" ht="15.75" customHeight="1">
      <c r="A38" s="114" t="s">
        <v>1266</v>
      </c>
      <c r="B38" s="114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6"/>
    </row>
    <row r="39" spans="1:15" ht="93.95" customHeight="1">
      <c r="A39" s="117" t="s">
        <v>1267</v>
      </c>
      <c r="B39" s="118" t="s">
        <v>1268</v>
      </c>
      <c r="C39" s="118" t="s">
        <v>1269</v>
      </c>
      <c r="D39" s="119" t="s">
        <v>238</v>
      </c>
      <c r="E39" s="119" t="s">
        <v>1209</v>
      </c>
      <c r="F39" s="117" t="s">
        <v>197</v>
      </c>
      <c r="G39" s="117" t="s">
        <v>6</v>
      </c>
      <c r="H39" s="117" t="s">
        <v>654</v>
      </c>
      <c r="I39" s="117"/>
      <c r="J39" s="117"/>
      <c r="K39" s="117"/>
      <c r="L39" s="117"/>
      <c r="M39" s="117"/>
      <c r="N39" s="117"/>
      <c r="O39" s="120" t="s">
        <v>1210</v>
      </c>
    </row>
    <row r="40" spans="1:15" ht="123.95" customHeight="1">
      <c r="A40" s="117" t="s">
        <v>1270</v>
      </c>
      <c r="B40" s="118" t="s">
        <v>1271</v>
      </c>
      <c r="C40" s="118" t="s">
        <v>1272</v>
      </c>
      <c r="D40" s="119" t="s">
        <v>242</v>
      </c>
      <c r="E40" s="119" t="s">
        <v>1209</v>
      </c>
      <c r="F40" s="117" t="s">
        <v>197</v>
      </c>
      <c r="G40" s="117" t="s">
        <v>6</v>
      </c>
      <c r="H40" s="117" t="s">
        <v>654</v>
      </c>
      <c r="I40" s="117"/>
      <c r="J40" s="117"/>
      <c r="K40" s="117"/>
      <c r="L40" s="117"/>
      <c r="M40" s="117"/>
      <c r="N40" s="117"/>
      <c r="O40" s="120" t="s">
        <v>1210</v>
      </c>
    </row>
    <row r="41" spans="1:15" ht="15.75" customHeight="1">
      <c r="A41" s="114" t="s">
        <v>1273</v>
      </c>
      <c r="B41" s="114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6"/>
    </row>
    <row r="42" spans="1:15" ht="93.95" customHeight="1">
      <c r="A42" s="117" t="s">
        <v>1274</v>
      </c>
      <c r="B42" s="118" t="s">
        <v>1275</v>
      </c>
      <c r="C42" s="118" t="s">
        <v>1276</v>
      </c>
      <c r="D42" s="119" t="s">
        <v>238</v>
      </c>
      <c r="E42" s="119" t="s">
        <v>1209</v>
      </c>
      <c r="F42" s="117" t="s">
        <v>197</v>
      </c>
      <c r="G42" s="117" t="s">
        <v>6</v>
      </c>
      <c r="H42" s="117" t="s">
        <v>654</v>
      </c>
      <c r="I42" s="117"/>
      <c r="J42" s="117"/>
      <c r="K42" s="117"/>
      <c r="L42" s="117"/>
      <c r="M42" s="117"/>
      <c r="N42" s="117"/>
      <c r="O42" s="120" t="s">
        <v>1210</v>
      </c>
    </row>
    <row r="43" spans="1:15" ht="123.95" customHeight="1">
      <c r="A43" s="117" t="s">
        <v>1277</v>
      </c>
      <c r="B43" s="118" t="s">
        <v>1278</v>
      </c>
      <c r="C43" s="118" t="s">
        <v>1279</v>
      </c>
      <c r="D43" s="119" t="s">
        <v>242</v>
      </c>
      <c r="E43" s="119" t="s">
        <v>1209</v>
      </c>
      <c r="F43" s="117" t="s">
        <v>197</v>
      </c>
      <c r="G43" s="117" t="s">
        <v>6</v>
      </c>
      <c r="H43" s="117" t="s">
        <v>654</v>
      </c>
      <c r="I43" s="117"/>
      <c r="J43" s="117"/>
      <c r="K43" s="117"/>
      <c r="L43" s="117"/>
      <c r="M43" s="117"/>
      <c r="N43" s="117"/>
      <c r="O43" s="120" t="s">
        <v>1210</v>
      </c>
    </row>
    <row r="44" spans="1:15" ht="15.75" customHeight="1">
      <c r="A44" s="114" t="s">
        <v>1280</v>
      </c>
      <c r="B44" s="114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6"/>
    </row>
    <row r="45" spans="1:15" ht="93.95" customHeight="1">
      <c r="A45" s="117" t="s">
        <v>1281</v>
      </c>
      <c r="B45" s="118" t="s">
        <v>1282</v>
      </c>
      <c r="C45" s="118" t="s">
        <v>1283</v>
      </c>
      <c r="D45" s="119" t="s">
        <v>238</v>
      </c>
      <c r="E45" s="119" t="s">
        <v>1209</v>
      </c>
      <c r="F45" s="117" t="s">
        <v>197</v>
      </c>
      <c r="G45" s="117" t="s">
        <v>6</v>
      </c>
      <c r="H45" s="117" t="s">
        <v>654</v>
      </c>
      <c r="I45" s="117"/>
      <c r="J45" s="117"/>
      <c r="K45" s="117"/>
      <c r="L45" s="117"/>
      <c r="M45" s="117"/>
      <c r="N45" s="117"/>
      <c r="O45" s="120" t="s">
        <v>1210</v>
      </c>
    </row>
    <row r="46" spans="1:15" ht="123.95" customHeight="1">
      <c r="A46" s="117" t="s">
        <v>1284</v>
      </c>
      <c r="B46" s="118" t="s">
        <v>1285</v>
      </c>
      <c r="C46" s="118" t="s">
        <v>1286</v>
      </c>
      <c r="D46" s="119" t="s">
        <v>242</v>
      </c>
      <c r="E46" s="119" t="s">
        <v>1209</v>
      </c>
      <c r="F46" s="117" t="s">
        <v>197</v>
      </c>
      <c r="G46" s="117" t="s">
        <v>6</v>
      </c>
      <c r="H46" s="117" t="s">
        <v>654</v>
      </c>
      <c r="I46" s="117"/>
      <c r="J46" s="117"/>
      <c r="K46" s="117"/>
      <c r="L46" s="117"/>
      <c r="M46" s="117"/>
      <c r="N46" s="117"/>
      <c r="O46" s="120" t="s">
        <v>1210</v>
      </c>
    </row>
    <row r="47" spans="1:15" ht="15.75" customHeight="1">
      <c r="A47" s="114" t="s">
        <v>293</v>
      </c>
      <c r="B47" s="114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6"/>
    </row>
    <row r="48" spans="1:15" ht="78.95" customHeight="1">
      <c r="A48" s="117" t="s">
        <v>1287</v>
      </c>
      <c r="B48" s="118" t="s">
        <v>803</v>
      </c>
      <c r="C48" s="118" t="s">
        <v>1288</v>
      </c>
      <c r="D48" s="119" t="s">
        <v>805</v>
      </c>
      <c r="E48" s="119" t="s">
        <v>806</v>
      </c>
      <c r="F48" s="117" t="s">
        <v>197</v>
      </c>
      <c r="G48" s="117" t="s">
        <v>6</v>
      </c>
      <c r="H48" s="117" t="s">
        <v>654</v>
      </c>
      <c r="I48" s="117"/>
      <c r="J48" s="117"/>
      <c r="K48" s="117"/>
      <c r="L48" s="117"/>
      <c r="M48" s="117"/>
      <c r="N48" s="117"/>
      <c r="O48" s="120" t="s">
        <v>1210</v>
      </c>
    </row>
    <row r="49" spans="1:15" ht="108.95" customHeight="1">
      <c r="A49" s="117" t="s">
        <v>1289</v>
      </c>
      <c r="B49" s="118" t="s">
        <v>808</v>
      </c>
      <c r="C49" s="118" t="s">
        <v>1290</v>
      </c>
      <c r="D49" s="119" t="s">
        <v>810</v>
      </c>
      <c r="E49" s="119" t="s">
        <v>811</v>
      </c>
      <c r="F49" s="117" t="s">
        <v>197</v>
      </c>
      <c r="G49" s="117" t="s">
        <v>6</v>
      </c>
      <c r="H49" s="117" t="s">
        <v>654</v>
      </c>
      <c r="I49" s="117"/>
      <c r="J49" s="117"/>
      <c r="K49" s="117"/>
      <c r="L49" s="117"/>
      <c r="M49" s="117"/>
      <c r="N49" s="117"/>
      <c r="O49" s="120" t="s">
        <v>1210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1D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R21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114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116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6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6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1291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1292</v>
      </c>
      <c r="B12" s="118" t="s">
        <v>1293</v>
      </c>
      <c r="C12" s="118" t="s">
        <v>1294</v>
      </c>
      <c r="D12" s="119" t="s">
        <v>681</v>
      </c>
      <c r="E12" s="119" t="s">
        <v>915</v>
      </c>
      <c r="F12" s="117" t="s">
        <v>197</v>
      </c>
      <c r="G12" s="117" t="s">
        <v>1086</v>
      </c>
      <c r="H12" s="117" t="s">
        <v>654</v>
      </c>
      <c r="I12" s="117"/>
      <c r="J12" s="117"/>
      <c r="K12" s="117"/>
      <c r="L12" s="117"/>
      <c r="M12" s="117"/>
      <c r="N12" s="117"/>
      <c r="O12" s="120" t="s">
        <v>1295</v>
      </c>
    </row>
    <row r="13" spans="1:18" ht="15.75" customHeight="1" outlineLevel="1">
      <c r="A13" s="114" t="s">
        <v>1296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78.95" customHeight="1" outlineLevel="1">
      <c r="A14" s="117" t="s">
        <v>1297</v>
      </c>
      <c r="B14" s="118" t="s">
        <v>1298</v>
      </c>
      <c r="C14" s="118" t="s">
        <v>1299</v>
      </c>
      <c r="D14" s="119" t="s">
        <v>681</v>
      </c>
      <c r="E14" s="119" t="s">
        <v>915</v>
      </c>
      <c r="F14" s="117" t="s">
        <v>197</v>
      </c>
      <c r="G14" s="117" t="s">
        <v>1086</v>
      </c>
      <c r="H14" s="117" t="s">
        <v>654</v>
      </c>
      <c r="I14" s="117"/>
      <c r="J14" s="117"/>
      <c r="K14" s="117"/>
      <c r="L14" s="117"/>
      <c r="M14" s="117"/>
      <c r="N14" s="117"/>
      <c r="O14" s="120" t="s">
        <v>1295</v>
      </c>
    </row>
    <row r="15" spans="1:18" s="21" customFormat="1" ht="15.75" customHeight="1">
      <c r="A15" s="114" t="s">
        <v>1300</v>
      </c>
      <c r="B15" s="114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6"/>
    </row>
    <row r="16" spans="1:18" ht="93.95" customHeight="1" outlineLevel="1">
      <c r="A16" s="117" t="s">
        <v>1301</v>
      </c>
      <c r="B16" s="118" t="s">
        <v>1302</v>
      </c>
      <c r="C16" s="118" t="s">
        <v>1303</v>
      </c>
      <c r="D16" s="119" t="s">
        <v>681</v>
      </c>
      <c r="E16" s="119" t="s">
        <v>915</v>
      </c>
      <c r="F16" s="117" t="s">
        <v>197</v>
      </c>
      <c r="G16" s="117" t="s">
        <v>1086</v>
      </c>
      <c r="H16" s="117" t="s">
        <v>654</v>
      </c>
      <c r="I16" s="117"/>
      <c r="J16" s="117"/>
      <c r="K16" s="117"/>
      <c r="L16" s="117"/>
      <c r="M16" s="117"/>
      <c r="N16" s="117"/>
      <c r="O16" s="120" t="s">
        <v>1295</v>
      </c>
    </row>
    <row r="17" spans="1:15" ht="15.75" customHeight="1" outlineLevel="1">
      <c r="A17" s="114" t="s">
        <v>1304</v>
      </c>
      <c r="B17" s="114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6"/>
    </row>
    <row r="18" spans="1:15" s="21" customFormat="1" ht="93.95" customHeight="1">
      <c r="A18" s="117" t="s">
        <v>1305</v>
      </c>
      <c r="B18" s="118" t="s">
        <v>1306</v>
      </c>
      <c r="C18" s="118" t="s">
        <v>1307</v>
      </c>
      <c r="D18" s="119" t="s">
        <v>681</v>
      </c>
      <c r="E18" s="119" t="s">
        <v>915</v>
      </c>
      <c r="F18" s="117" t="s">
        <v>197</v>
      </c>
      <c r="G18" s="117" t="s">
        <v>1086</v>
      </c>
      <c r="H18" s="117" t="s">
        <v>654</v>
      </c>
      <c r="I18" s="117"/>
      <c r="J18" s="117"/>
      <c r="K18" s="117"/>
      <c r="L18" s="117"/>
      <c r="M18" s="117"/>
      <c r="N18" s="117"/>
      <c r="O18" s="120" t="s">
        <v>1295</v>
      </c>
    </row>
    <row r="19" spans="1:15" ht="15.75" customHeight="1" outlineLevel="1">
      <c r="A19" s="114" t="s">
        <v>293</v>
      </c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6"/>
    </row>
    <row r="20" spans="1:15" ht="78.95" customHeight="1">
      <c r="A20" s="117" t="s">
        <v>1308</v>
      </c>
      <c r="B20" s="118" t="s">
        <v>803</v>
      </c>
      <c r="C20" s="118" t="s">
        <v>1309</v>
      </c>
      <c r="D20" s="119" t="s">
        <v>805</v>
      </c>
      <c r="E20" s="119" t="s">
        <v>806</v>
      </c>
      <c r="F20" s="117" t="s">
        <v>197</v>
      </c>
      <c r="G20" s="117" t="s">
        <v>1086</v>
      </c>
      <c r="H20" s="117" t="s">
        <v>654</v>
      </c>
      <c r="I20" s="117"/>
      <c r="J20" s="117"/>
      <c r="K20" s="117"/>
      <c r="L20" s="117"/>
      <c r="M20" s="117"/>
      <c r="N20" s="117"/>
      <c r="O20" s="120" t="s">
        <v>1295</v>
      </c>
    </row>
    <row r="21" spans="1:15" ht="108.95" customHeight="1">
      <c r="A21" s="117" t="s">
        <v>1310</v>
      </c>
      <c r="B21" s="118" t="s">
        <v>808</v>
      </c>
      <c r="C21" s="118" t="s">
        <v>1311</v>
      </c>
      <c r="D21" s="119" t="s">
        <v>810</v>
      </c>
      <c r="E21" s="119" t="s">
        <v>811</v>
      </c>
      <c r="F21" s="117" t="s">
        <v>197</v>
      </c>
      <c r="G21" s="117" t="s">
        <v>1086</v>
      </c>
      <c r="H21" s="117" t="s">
        <v>654</v>
      </c>
      <c r="I21" s="117"/>
      <c r="J21" s="117"/>
      <c r="K21" s="117"/>
      <c r="L21" s="117"/>
      <c r="M21" s="117"/>
      <c r="N21" s="117"/>
      <c r="O21" s="120" t="s">
        <v>1295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1E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117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119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5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5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1312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1313</v>
      </c>
      <c r="B12" s="118" t="s">
        <v>1314</v>
      </c>
      <c r="C12" s="118" t="s">
        <v>1315</v>
      </c>
      <c r="D12" s="119" t="s">
        <v>681</v>
      </c>
      <c r="E12" s="119" t="s">
        <v>915</v>
      </c>
      <c r="F12" s="117" t="s">
        <v>197</v>
      </c>
      <c r="G12" s="117" t="s">
        <v>1086</v>
      </c>
      <c r="H12" s="117" t="s">
        <v>654</v>
      </c>
      <c r="I12" s="117"/>
      <c r="J12" s="117"/>
      <c r="K12" s="117"/>
      <c r="L12" s="117"/>
      <c r="M12" s="117"/>
      <c r="N12" s="117"/>
      <c r="O12" s="120" t="s">
        <v>1295</v>
      </c>
    </row>
    <row r="13" spans="1:18" ht="15.75" customHeight="1" outlineLevel="1">
      <c r="A13" s="114" t="s">
        <v>1316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93.95" customHeight="1" outlineLevel="1">
      <c r="A14" s="117" t="s">
        <v>1317</v>
      </c>
      <c r="B14" s="118" t="s">
        <v>1318</v>
      </c>
      <c r="C14" s="118" t="s">
        <v>1319</v>
      </c>
      <c r="D14" s="119" t="s">
        <v>681</v>
      </c>
      <c r="E14" s="119" t="s">
        <v>915</v>
      </c>
      <c r="F14" s="117" t="s">
        <v>197</v>
      </c>
      <c r="G14" s="117" t="s">
        <v>1086</v>
      </c>
      <c r="H14" s="117" t="s">
        <v>654</v>
      </c>
      <c r="I14" s="117"/>
      <c r="J14" s="117"/>
      <c r="K14" s="117"/>
      <c r="L14" s="117"/>
      <c r="M14" s="117"/>
      <c r="N14" s="117"/>
      <c r="O14" s="120" t="s">
        <v>1295</v>
      </c>
    </row>
    <row r="15" spans="1:18" s="21" customFormat="1" ht="15.75" customHeight="1">
      <c r="A15" s="114" t="s">
        <v>1320</v>
      </c>
      <c r="B15" s="114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6"/>
    </row>
    <row r="16" spans="1:18" ht="93.95" customHeight="1" outlineLevel="1">
      <c r="A16" s="117" t="s">
        <v>1321</v>
      </c>
      <c r="B16" s="118" t="s">
        <v>1322</v>
      </c>
      <c r="C16" s="118" t="s">
        <v>1323</v>
      </c>
      <c r="D16" s="119" t="s">
        <v>681</v>
      </c>
      <c r="E16" s="119" t="s">
        <v>915</v>
      </c>
      <c r="F16" s="117" t="s">
        <v>197</v>
      </c>
      <c r="G16" s="117" t="s">
        <v>1086</v>
      </c>
      <c r="H16" s="117" t="s">
        <v>654</v>
      </c>
      <c r="I16" s="117"/>
      <c r="J16" s="117"/>
      <c r="K16" s="117"/>
      <c r="L16" s="117"/>
      <c r="M16" s="117"/>
      <c r="N16" s="117"/>
      <c r="O16" s="120" t="s">
        <v>1295</v>
      </c>
    </row>
    <row r="17" spans="1:15" ht="15.75" customHeight="1" outlineLevel="1">
      <c r="A17" s="114" t="s">
        <v>293</v>
      </c>
      <c r="B17" s="114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6"/>
    </row>
    <row r="18" spans="1:15" s="21" customFormat="1" ht="78.95" customHeight="1">
      <c r="A18" s="117" t="s">
        <v>1324</v>
      </c>
      <c r="B18" s="118" t="s">
        <v>803</v>
      </c>
      <c r="C18" s="118" t="s">
        <v>1325</v>
      </c>
      <c r="D18" s="119" t="s">
        <v>805</v>
      </c>
      <c r="E18" s="119" t="s">
        <v>806</v>
      </c>
      <c r="F18" s="117" t="s">
        <v>197</v>
      </c>
      <c r="G18" s="117" t="s">
        <v>1086</v>
      </c>
      <c r="H18" s="117" t="s">
        <v>654</v>
      </c>
      <c r="I18" s="117"/>
      <c r="J18" s="117"/>
      <c r="K18" s="117"/>
      <c r="L18" s="117"/>
      <c r="M18" s="117"/>
      <c r="N18" s="117"/>
      <c r="O18" s="120" t="s">
        <v>1295</v>
      </c>
    </row>
    <row r="19" spans="1:15" ht="108.95" customHeight="1" outlineLevel="1">
      <c r="A19" s="117" t="s">
        <v>1326</v>
      </c>
      <c r="B19" s="118" t="s">
        <v>808</v>
      </c>
      <c r="C19" s="118" t="s">
        <v>1327</v>
      </c>
      <c r="D19" s="119" t="s">
        <v>810</v>
      </c>
      <c r="E19" s="119" t="s">
        <v>811</v>
      </c>
      <c r="F19" s="117" t="s">
        <v>197</v>
      </c>
      <c r="G19" s="117" t="s">
        <v>1086</v>
      </c>
      <c r="H19" s="117" t="s">
        <v>654</v>
      </c>
      <c r="I19" s="117"/>
      <c r="J19" s="117"/>
      <c r="K19" s="117"/>
      <c r="L19" s="117"/>
      <c r="M19" s="117"/>
      <c r="N19" s="117"/>
      <c r="O19" s="120" t="s">
        <v>1295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1F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120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122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4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4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1328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1329</v>
      </c>
      <c r="B12" s="118" t="s">
        <v>1330</v>
      </c>
      <c r="C12" s="118" t="s">
        <v>1331</v>
      </c>
      <c r="D12" s="119" t="s">
        <v>681</v>
      </c>
      <c r="E12" s="119" t="s">
        <v>915</v>
      </c>
      <c r="F12" s="117" t="s">
        <v>197</v>
      </c>
      <c r="G12" s="117" t="s">
        <v>1086</v>
      </c>
      <c r="H12" s="117" t="s">
        <v>654</v>
      </c>
      <c r="I12" s="117"/>
      <c r="J12" s="117"/>
      <c r="K12" s="117"/>
      <c r="L12" s="117"/>
      <c r="M12" s="117"/>
      <c r="N12" s="117"/>
      <c r="O12" s="120" t="s">
        <v>1295</v>
      </c>
    </row>
    <row r="13" spans="1:18" ht="15.75" customHeight="1" outlineLevel="1">
      <c r="A13" s="114" t="s">
        <v>1320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93.95" customHeight="1" outlineLevel="1">
      <c r="A14" s="117" t="s">
        <v>1332</v>
      </c>
      <c r="B14" s="118" t="s">
        <v>1322</v>
      </c>
      <c r="C14" s="118" t="s">
        <v>1323</v>
      </c>
      <c r="D14" s="119" t="s">
        <v>681</v>
      </c>
      <c r="E14" s="119" t="s">
        <v>915</v>
      </c>
      <c r="F14" s="117" t="s">
        <v>197</v>
      </c>
      <c r="G14" s="117" t="s">
        <v>1086</v>
      </c>
      <c r="H14" s="117" t="s">
        <v>654</v>
      </c>
      <c r="I14" s="117"/>
      <c r="J14" s="117"/>
      <c r="K14" s="117"/>
      <c r="L14" s="117"/>
      <c r="M14" s="117"/>
      <c r="N14" s="117"/>
      <c r="O14" s="120" t="s">
        <v>1295</v>
      </c>
    </row>
    <row r="15" spans="1:18" s="21" customFormat="1" ht="15.75" customHeight="1">
      <c r="A15" s="114" t="s">
        <v>293</v>
      </c>
      <c r="B15" s="114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6"/>
    </row>
    <row r="16" spans="1:18" ht="78.95" customHeight="1" outlineLevel="1">
      <c r="A16" s="117" t="s">
        <v>1333</v>
      </c>
      <c r="B16" s="118" t="s">
        <v>803</v>
      </c>
      <c r="C16" s="118" t="s">
        <v>1334</v>
      </c>
      <c r="D16" s="119" t="s">
        <v>805</v>
      </c>
      <c r="E16" s="119" t="s">
        <v>806</v>
      </c>
      <c r="F16" s="117" t="s">
        <v>197</v>
      </c>
      <c r="G16" s="117" t="s">
        <v>1086</v>
      </c>
      <c r="H16" s="117" t="s">
        <v>654</v>
      </c>
      <c r="I16" s="117"/>
      <c r="J16" s="117"/>
      <c r="K16" s="117"/>
      <c r="L16" s="117"/>
      <c r="M16" s="117"/>
      <c r="N16" s="117"/>
      <c r="O16" s="120" t="s">
        <v>1295</v>
      </c>
    </row>
    <row r="17" spans="1:15" ht="108.95" customHeight="1" outlineLevel="1">
      <c r="A17" s="117" t="s">
        <v>1335</v>
      </c>
      <c r="B17" s="118" t="s">
        <v>808</v>
      </c>
      <c r="C17" s="118" t="s">
        <v>1336</v>
      </c>
      <c r="D17" s="119" t="s">
        <v>810</v>
      </c>
      <c r="E17" s="119" t="s">
        <v>811</v>
      </c>
      <c r="F17" s="117" t="s">
        <v>197</v>
      </c>
      <c r="G17" s="117" t="s">
        <v>1086</v>
      </c>
      <c r="H17" s="117" t="s">
        <v>654</v>
      </c>
      <c r="I17" s="117"/>
      <c r="J17" s="117"/>
      <c r="K17" s="117"/>
      <c r="L17" s="117"/>
      <c r="M17" s="117"/>
      <c r="N17" s="117"/>
      <c r="O17" s="120" t="s">
        <v>1295</v>
      </c>
    </row>
    <row r="18" spans="1:15" s="21" customFormat="1" ht="15.75" customHeight="1"/>
    <row r="19" spans="1:15" ht="14.1" customHeight="1" outlineLevel="1"/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20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R74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123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125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41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35</v>
      </c>
      <c r="C6" s="60">
        <f>COUNTIF($F$11:$F$2000,C$5)</f>
        <v>0</v>
      </c>
      <c r="D6" s="60">
        <f>COUNTIF($F$11:$F$2000,D$5)</f>
        <v>6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1337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1338</v>
      </c>
      <c r="B12" s="118" t="s">
        <v>1339</v>
      </c>
      <c r="C12" s="118" t="s">
        <v>1340</v>
      </c>
      <c r="D12" s="119" t="s">
        <v>681</v>
      </c>
      <c r="E12" s="119" t="s">
        <v>686</v>
      </c>
      <c r="F12" s="117" t="s">
        <v>197</v>
      </c>
      <c r="G12" s="117" t="s">
        <v>671</v>
      </c>
      <c r="H12" s="117" t="s">
        <v>672</v>
      </c>
      <c r="I12" s="117"/>
      <c r="J12" s="117"/>
      <c r="K12" s="117"/>
      <c r="L12" s="117"/>
      <c r="M12" s="117"/>
      <c r="N12" s="117"/>
      <c r="O12" s="120" t="s">
        <v>1341</v>
      </c>
    </row>
    <row r="13" spans="1:18" ht="15.75" customHeight="1" outlineLevel="1">
      <c r="A13" s="114" t="s">
        <v>1342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93.95" customHeight="1" outlineLevel="1">
      <c r="A14" s="117" t="s">
        <v>1343</v>
      </c>
      <c r="B14" s="118" t="s">
        <v>1344</v>
      </c>
      <c r="C14" s="118" t="s">
        <v>1345</v>
      </c>
      <c r="D14" s="119" t="s">
        <v>260</v>
      </c>
      <c r="E14" s="119" t="s">
        <v>686</v>
      </c>
      <c r="F14" s="117" t="s">
        <v>197</v>
      </c>
      <c r="G14" s="117" t="s">
        <v>671</v>
      </c>
      <c r="H14" s="117" t="s">
        <v>672</v>
      </c>
      <c r="I14" s="117"/>
      <c r="J14" s="117"/>
      <c r="K14" s="117"/>
      <c r="L14" s="117"/>
      <c r="M14" s="117"/>
      <c r="N14" s="117"/>
      <c r="O14" s="120" t="s">
        <v>1341</v>
      </c>
    </row>
    <row r="15" spans="1:18" s="21" customFormat="1" ht="138.94999999999999" customHeight="1">
      <c r="A15" s="117" t="s">
        <v>1346</v>
      </c>
      <c r="B15" s="118" t="s">
        <v>1347</v>
      </c>
      <c r="C15" s="118" t="s">
        <v>1348</v>
      </c>
      <c r="D15" s="119" t="s">
        <v>242</v>
      </c>
      <c r="E15" s="119" t="s">
        <v>686</v>
      </c>
      <c r="F15" s="117" t="s">
        <v>197</v>
      </c>
      <c r="G15" s="117" t="s">
        <v>671</v>
      </c>
      <c r="H15" s="117" t="s">
        <v>672</v>
      </c>
      <c r="I15" s="117"/>
      <c r="J15" s="117"/>
      <c r="K15" s="117"/>
      <c r="L15" s="117"/>
      <c r="M15" s="117"/>
      <c r="N15" s="117"/>
      <c r="O15" s="120" t="s">
        <v>1341</v>
      </c>
    </row>
    <row r="16" spans="1:18" ht="15.75" customHeight="1" outlineLevel="1">
      <c r="A16" s="114" t="s">
        <v>1349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108.95" customHeight="1" outlineLevel="1">
      <c r="A17" s="117" t="s">
        <v>1350</v>
      </c>
      <c r="B17" s="118" t="s">
        <v>1351</v>
      </c>
      <c r="C17" s="118" t="s">
        <v>1352</v>
      </c>
      <c r="D17" s="119" t="s">
        <v>238</v>
      </c>
      <c r="E17" s="119" t="s">
        <v>686</v>
      </c>
      <c r="F17" s="117" t="s">
        <v>197</v>
      </c>
      <c r="G17" s="117" t="s">
        <v>671</v>
      </c>
      <c r="H17" s="117" t="s">
        <v>672</v>
      </c>
      <c r="I17" s="117"/>
      <c r="J17" s="117"/>
      <c r="K17" s="117"/>
      <c r="L17" s="117"/>
      <c r="M17" s="117"/>
      <c r="N17" s="117"/>
      <c r="O17" s="120" t="s">
        <v>1341</v>
      </c>
    </row>
    <row r="18" spans="1:15" s="21" customFormat="1" ht="138.94999999999999" customHeight="1">
      <c r="A18" s="117" t="s">
        <v>1353</v>
      </c>
      <c r="B18" s="118" t="s">
        <v>1354</v>
      </c>
      <c r="C18" s="118" t="s">
        <v>1355</v>
      </c>
      <c r="D18" s="119" t="s">
        <v>242</v>
      </c>
      <c r="E18" s="119" t="s">
        <v>686</v>
      </c>
      <c r="F18" s="117" t="s">
        <v>197</v>
      </c>
      <c r="G18" s="117" t="s">
        <v>671</v>
      </c>
      <c r="H18" s="117" t="s">
        <v>672</v>
      </c>
      <c r="I18" s="117"/>
      <c r="J18" s="117"/>
      <c r="K18" s="117"/>
      <c r="L18" s="117"/>
      <c r="M18" s="117"/>
      <c r="N18" s="117"/>
      <c r="O18" s="120" t="s">
        <v>1341</v>
      </c>
    </row>
    <row r="19" spans="1:15" ht="15.75" customHeight="1" outlineLevel="1">
      <c r="A19" s="114" t="s">
        <v>1356</v>
      </c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6"/>
    </row>
    <row r="20" spans="1:15" ht="108.95" customHeight="1">
      <c r="A20" s="117" t="s">
        <v>1357</v>
      </c>
      <c r="B20" s="118" t="s">
        <v>1358</v>
      </c>
      <c r="C20" s="118" t="s">
        <v>1359</v>
      </c>
      <c r="D20" s="119" t="s">
        <v>238</v>
      </c>
      <c r="E20" s="119" t="s">
        <v>686</v>
      </c>
      <c r="F20" s="117" t="s">
        <v>197</v>
      </c>
      <c r="G20" s="117" t="s">
        <v>671</v>
      </c>
      <c r="H20" s="117" t="s">
        <v>672</v>
      </c>
      <c r="I20" s="117"/>
      <c r="J20" s="117"/>
      <c r="K20" s="117"/>
      <c r="L20" s="117"/>
      <c r="M20" s="117"/>
      <c r="N20" s="117"/>
      <c r="O20" s="120" t="s">
        <v>1341</v>
      </c>
    </row>
    <row r="21" spans="1:15" ht="138.94999999999999" customHeight="1">
      <c r="A21" s="117" t="s">
        <v>1360</v>
      </c>
      <c r="B21" s="118" t="s">
        <v>1361</v>
      </c>
      <c r="C21" s="118" t="s">
        <v>1362</v>
      </c>
      <c r="D21" s="119" t="s">
        <v>242</v>
      </c>
      <c r="E21" s="119" t="s">
        <v>686</v>
      </c>
      <c r="F21" s="117" t="s">
        <v>197</v>
      </c>
      <c r="G21" s="117" t="s">
        <v>671</v>
      </c>
      <c r="H21" s="117" t="s">
        <v>672</v>
      </c>
      <c r="I21" s="117"/>
      <c r="J21" s="117"/>
      <c r="K21" s="117"/>
      <c r="L21" s="117"/>
      <c r="M21" s="117"/>
      <c r="N21" s="117"/>
      <c r="O21" s="120" t="s">
        <v>1341</v>
      </c>
    </row>
    <row r="22" spans="1:15" ht="15.75" customHeight="1">
      <c r="A22" s="114" t="s">
        <v>1363</v>
      </c>
      <c r="B22" s="114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6"/>
    </row>
    <row r="23" spans="1:15" ht="78.95" customHeight="1">
      <c r="A23" s="117" t="s">
        <v>1364</v>
      </c>
      <c r="B23" s="118" t="s">
        <v>1365</v>
      </c>
      <c r="C23" s="118" t="s">
        <v>1366</v>
      </c>
      <c r="D23" s="119" t="s">
        <v>681</v>
      </c>
      <c r="E23" s="119" t="s">
        <v>670</v>
      </c>
      <c r="F23" s="117" t="s">
        <v>197</v>
      </c>
      <c r="G23" s="117" t="s">
        <v>671</v>
      </c>
      <c r="H23" s="117" t="s">
        <v>672</v>
      </c>
      <c r="I23" s="117"/>
      <c r="J23" s="117"/>
      <c r="K23" s="117"/>
      <c r="L23" s="117"/>
      <c r="M23" s="117"/>
      <c r="N23" s="117"/>
      <c r="O23" s="120" t="s">
        <v>1341</v>
      </c>
    </row>
    <row r="24" spans="1:15" ht="15.75" customHeight="1">
      <c r="A24" s="114" t="s">
        <v>1367</v>
      </c>
      <c r="B24" s="114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6"/>
    </row>
    <row r="25" spans="1:15" ht="93.95" customHeight="1">
      <c r="A25" s="117" t="s">
        <v>1368</v>
      </c>
      <c r="B25" s="118" t="s">
        <v>1369</v>
      </c>
      <c r="C25" s="118" t="s">
        <v>1370</v>
      </c>
      <c r="D25" s="119" t="s">
        <v>238</v>
      </c>
      <c r="E25" s="119" t="s">
        <v>686</v>
      </c>
      <c r="F25" s="117" t="s">
        <v>197</v>
      </c>
      <c r="G25" s="117" t="s">
        <v>671</v>
      </c>
      <c r="H25" s="117" t="s">
        <v>672</v>
      </c>
      <c r="I25" s="117"/>
      <c r="J25" s="117"/>
      <c r="K25" s="117"/>
      <c r="L25" s="117"/>
      <c r="M25" s="117"/>
      <c r="N25" s="117"/>
      <c r="O25" s="120" t="s">
        <v>1341</v>
      </c>
    </row>
    <row r="26" spans="1:15" ht="123.95" customHeight="1">
      <c r="A26" s="117" t="s">
        <v>1371</v>
      </c>
      <c r="B26" s="118" t="s">
        <v>1372</v>
      </c>
      <c r="C26" s="118" t="s">
        <v>1373</v>
      </c>
      <c r="D26" s="119" t="s">
        <v>242</v>
      </c>
      <c r="E26" s="119" t="s">
        <v>686</v>
      </c>
      <c r="F26" s="117" t="s">
        <v>197</v>
      </c>
      <c r="G26" s="117" t="s">
        <v>671</v>
      </c>
      <c r="H26" s="117" t="s">
        <v>672</v>
      </c>
      <c r="I26" s="117"/>
      <c r="J26" s="117"/>
      <c r="K26" s="117"/>
      <c r="L26" s="117"/>
      <c r="M26" s="117"/>
      <c r="N26" s="117"/>
      <c r="O26" s="120" t="s">
        <v>1341</v>
      </c>
    </row>
    <row r="27" spans="1:15" ht="15.75" customHeight="1">
      <c r="A27" s="114" t="s">
        <v>1374</v>
      </c>
      <c r="B27" s="114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6"/>
    </row>
    <row r="28" spans="1:15" ht="108.95" customHeight="1">
      <c r="A28" s="117" t="s">
        <v>1375</v>
      </c>
      <c r="B28" s="118" t="s">
        <v>1376</v>
      </c>
      <c r="C28" s="118" t="s">
        <v>1377</v>
      </c>
      <c r="D28" s="119" t="s">
        <v>260</v>
      </c>
      <c r="E28" s="119" t="s">
        <v>686</v>
      </c>
      <c r="F28" s="117" t="s">
        <v>197</v>
      </c>
      <c r="G28" s="117" t="s">
        <v>671</v>
      </c>
      <c r="H28" s="117" t="s">
        <v>672</v>
      </c>
      <c r="I28" s="117"/>
      <c r="J28" s="117"/>
      <c r="K28" s="117"/>
      <c r="L28" s="117"/>
      <c r="M28" s="117"/>
      <c r="N28" s="117"/>
      <c r="O28" s="120" t="s">
        <v>1341</v>
      </c>
    </row>
    <row r="29" spans="1:15" ht="138.94999999999999" customHeight="1">
      <c r="A29" s="117" t="s">
        <v>1378</v>
      </c>
      <c r="B29" s="118" t="s">
        <v>1379</v>
      </c>
      <c r="C29" s="118" t="s">
        <v>1380</v>
      </c>
      <c r="D29" s="119" t="s">
        <v>242</v>
      </c>
      <c r="E29" s="119" t="s">
        <v>686</v>
      </c>
      <c r="F29" s="117" t="s">
        <v>197</v>
      </c>
      <c r="G29" s="117" t="s">
        <v>671</v>
      </c>
      <c r="H29" s="117" t="s">
        <v>672</v>
      </c>
      <c r="I29" s="117"/>
      <c r="J29" s="117"/>
      <c r="K29" s="117"/>
      <c r="L29" s="117"/>
      <c r="M29" s="117"/>
      <c r="N29" s="117"/>
      <c r="O29" s="120" t="s">
        <v>1341</v>
      </c>
    </row>
    <row r="30" spans="1:15" ht="15.75" customHeight="1">
      <c r="A30" s="114" t="s">
        <v>1381</v>
      </c>
      <c r="B30" s="114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6"/>
    </row>
    <row r="31" spans="1:15" ht="93.95" customHeight="1">
      <c r="A31" s="117" t="s">
        <v>1382</v>
      </c>
      <c r="B31" s="118" t="s">
        <v>1383</v>
      </c>
      <c r="C31" s="118" t="s">
        <v>1384</v>
      </c>
      <c r="D31" s="119" t="s">
        <v>238</v>
      </c>
      <c r="E31" s="119" t="s">
        <v>686</v>
      </c>
      <c r="F31" s="117" t="s">
        <v>197</v>
      </c>
      <c r="G31" s="117" t="s">
        <v>671</v>
      </c>
      <c r="H31" s="117" t="s">
        <v>672</v>
      </c>
      <c r="I31" s="117"/>
      <c r="J31" s="117"/>
      <c r="K31" s="117"/>
      <c r="L31" s="117"/>
      <c r="M31" s="117"/>
      <c r="N31" s="117"/>
      <c r="O31" s="120" t="s">
        <v>1341</v>
      </c>
    </row>
    <row r="32" spans="1:15" ht="138.94999999999999" customHeight="1">
      <c r="A32" s="117" t="s">
        <v>1385</v>
      </c>
      <c r="B32" s="118" t="s">
        <v>1386</v>
      </c>
      <c r="C32" s="118" t="s">
        <v>1387</v>
      </c>
      <c r="D32" s="119" t="s">
        <v>242</v>
      </c>
      <c r="E32" s="119" t="s">
        <v>686</v>
      </c>
      <c r="F32" s="117" t="s">
        <v>197</v>
      </c>
      <c r="G32" s="117" t="s">
        <v>671</v>
      </c>
      <c r="H32" s="117" t="s">
        <v>672</v>
      </c>
      <c r="I32" s="117"/>
      <c r="J32" s="117"/>
      <c r="K32" s="117"/>
      <c r="L32" s="117"/>
      <c r="M32" s="117"/>
      <c r="N32" s="117"/>
      <c r="O32" s="120" t="s">
        <v>1341</v>
      </c>
    </row>
    <row r="33" spans="1:15" ht="15.75" customHeight="1">
      <c r="A33" s="114" t="s">
        <v>851</v>
      </c>
      <c r="B33" s="114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6"/>
    </row>
    <row r="34" spans="1:15" ht="93.95" customHeight="1">
      <c r="A34" s="117" t="s">
        <v>1388</v>
      </c>
      <c r="B34" s="118" t="s">
        <v>853</v>
      </c>
      <c r="C34" s="118" t="s">
        <v>854</v>
      </c>
      <c r="D34" s="119" t="s">
        <v>238</v>
      </c>
      <c r="E34" s="119" t="s">
        <v>686</v>
      </c>
      <c r="F34" s="117" t="s">
        <v>197</v>
      </c>
      <c r="G34" s="117" t="s">
        <v>671</v>
      </c>
      <c r="H34" s="117" t="s">
        <v>672</v>
      </c>
      <c r="I34" s="117"/>
      <c r="J34" s="117"/>
      <c r="K34" s="117"/>
      <c r="L34" s="117"/>
      <c r="M34" s="117"/>
      <c r="N34" s="117"/>
      <c r="O34" s="120" t="s">
        <v>1341</v>
      </c>
    </row>
    <row r="35" spans="1:15" ht="138.94999999999999" customHeight="1">
      <c r="A35" s="117" t="s">
        <v>1389</v>
      </c>
      <c r="B35" s="118" t="s">
        <v>857</v>
      </c>
      <c r="C35" s="118" t="s">
        <v>858</v>
      </c>
      <c r="D35" s="119" t="s">
        <v>242</v>
      </c>
      <c r="E35" s="119" t="s">
        <v>686</v>
      </c>
      <c r="F35" s="117" t="s">
        <v>197</v>
      </c>
      <c r="G35" s="117" t="s">
        <v>671</v>
      </c>
      <c r="H35" s="117" t="s">
        <v>672</v>
      </c>
      <c r="I35" s="117"/>
      <c r="J35" s="117"/>
      <c r="K35" s="117"/>
      <c r="L35" s="117"/>
      <c r="M35" s="117"/>
      <c r="N35" s="117"/>
      <c r="O35" s="120" t="s">
        <v>1341</v>
      </c>
    </row>
    <row r="36" spans="1:15" ht="15.75" customHeight="1">
      <c r="A36" s="114" t="s">
        <v>1390</v>
      </c>
      <c r="B36" s="114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6"/>
    </row>
    <row r="37" spans="1:15" ht="78.95" customHeight="1">
      <c r="A37" s="117" t="s">
        <v>1391</v>
      </c>
      <c r="B37" s="118" t="s">
        <v>1392</v>
      </c>
      <c r="C37" s="118" t="s">
        <v>1393</v>
      </c>
      <c r="D37" s="119" t="s">
        <v>681</v>
      </c>
      <c r="E37" s="119" t="s">
        <v>686</v>
      </c>
      <c r="F37" s="117" t="s">
        <v>197</v>
      </c>
      <c r="G37" s="117" t="s">
        <v>671</v>
      </c>
      <c r="H37" s="117" t="s">
        <v>672</v>
      </c>
      <c r="I37" s="117"/>
      <c r="J37" s="117"/>
      <c r="K37" s="117"/>
      <c r="L37" s="117"/>
      <c r="M37" s="117"/>
      <c r="N37" s="117"/>
      <c r="O37" s="120" t="s">
        <v>1341</v>
      </c>
    </row>
    <row r="38" spans="1:15" ht="15.75" customHeight="1">
      <c r="A38" s="114" t="s">
        <v>1394</v>
      </c>
      <c r="B38" s="114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6"/>
    </row>
    <row r="39" spans="1:15" ht="93.95" customHeight="1">
      <c r="A39" s="117" t="s">
        <v>1395</v>
      </c>
      <c r="B39" s="118" t="s">
        <v>1396</v>
      </c>
      <c r="C39" s="118" t="s">
        <v>1397</v>
      </c>
      <c r="D39" s="119" t="s">
        <v>681</v>
      </c>
      <c r="E39" s="119" t="s">
        <v>686</v>
      </c>
      <c r="F39" s="117" t="s">
        <v>197</v>
      </c>
      <c r="G39" s="117" t="s">
        <v>671</v>
      </c>
      <c r="H39" s="117" t="s">
        <v>672</v>
      </c>
      <c r="I39" s="117"/>
      <c r="J39" s="117"/>
      <c r="K39" s="117"/>
      <c r="L39" s="117"/>
      <c r="M39" s="117"/>
      <c r="N39" s="117"/>
      <c r="O39" s="120" t="s">
        <v>1341</v>
      </c>
    </row>
    <row r="40" spans="1:15" ht="15.75" customHeight="1">
      <c r="A40" s="114" t="s">
        <v>1398</v>
      </c>
      <c r="B40" s="114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1" spans="1:15" ht="93.95" customHeight="1">
      <c r="A41" s="117" t="s">
        <v>1399</v>
      </c>
      <c r="B41" s="118" t="s">
        <v>1400</v>
      </c>
      <c r="C41" s="118" t="s">
        <v>1401</v>
      </c>
      <c r="D41" s="119" t="s">
        <v>238</v>
      </c>
      <c r="E41" s="119" t="s">
        <v>670</v>
      </c>
      <c r="F41" s="117" t="s">
        <v>197</v>
      </c>
      <c r="G41" s="117" t="s">
        <v>671</v>
      </c>
      <c r="H41" s="117" t="s">
        <v>672</v>
      </c>
      <c r="I41" s="117"/>
      <c r="J41" s="117"/>
      <c r="K41" s="117"/>
      <c r="L41" s="117"/>
      <c r="M41" s="117"/>
      <c r="N41" s="117"/>
      <c r="O41" s="120" t="s">
        <v>1341</v>
      </c>
    </row>
    <row r="42" spans="1:15" ht="123.95" customHeight="1">
      <c r="A42" s="117" t="s">
        <v>1402</v>
      </c>
      <c r="B42" s="118" t="s">
        <v>1403</v>
      </c>
      <c r="C42" s="118" t="s">
        <v>1404</v>
      </c>
      <c r="D42" s="119" t="s">
        <v>242</v>
      </c>
      <c r="E42" s="119" t="s">
        <v>670</v>
      </c>
      <c r="F42" s="117" t="s">
        <v>197</v>
      </c>
      <c r="G42" s="117" t="s">
        <v>671</v>
      </c>
      <c r="H42" s="117" t="s">
        <v>672</v>
      </c>
      <c r="I42" s="117"/>
      <c r="J42" s="117"/>
      <c r="K42" s="117"/>
      <c r="L42" s="117"/>
      <c r="M42" s="117"/>
      <c r="N42" s="117"/>
      <c r="O42" s="120" t="s">
        <v>1341</v>
      </c>
    </row>
    <row r="43" spans="1:15" ht="15.75" customHeight="1">
      <c r="A43" s="114" t="s">
        <v>1405</v>
      </c>
      <c r="B43" s="114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6"/>
    </row>
    <row r="44" spans="1:15" ht="78.95" customHeight="1">
      <c r="A44" s="117" t="s">
        <v>1406</v>
      </c>
      <c r="B44" s="118" t="s">
        <v>1407</v>
      </c>
      <c r="C44" s="118" t="s">
        <v>1408</v>
      </c>
      <c r="D44" s="119" t="s">
        <v>681</v>
      </c>
      <c r="E44" s="119" t="s">
        <v>670</v>
      </c>
      <c r="F44" s="117" t="s">
        <v>197</v>
      </c>
      <c r="G44" s="117" t="s">
        <v>671</v>
      </c>
      <c r="H44" s="117" t="s">
        <v>672</v>
      </c>
      <c r="I44" s="117"/>
      <c r="J44" s="117"/>
      <c r="K44" s="117"/>
      <c r="L44" s="117"/>
      <c r="M44" s="117"/>
      <c r="N44" s="117"/>
      <c r="O44" s="120" t="s">
        <v>1341</v>
      </c>
    </row>
    <row r="45" spans="1:15" ht="15.75" customHeight="1">
      <c r="A45" s="114" t="s">
        <v>1409</v>
      </c>
      <c r="B45" s="114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6"/>
    </row>
    <row r="46" spans="1:15" ht="93.95" customHeight="1">
      <c r="A46" s="117" t="s">
        <v>1410</v>
      </c>
      <c r="B46" s="118" t="s">
        <v>1411</v>
      </c>
      <c r="C46" s="118" t="s">
        <v>1412</v>
      </c>
      <c r="D46" s="119" t="s">
        <v>260</v>
      </c>
      <c r="E46" s="119" t="s">
        <v>686</v>
      </c>
      <c r="F46" s="117" t="s">
        <v>197</v>
      </c>
      <c r="G46" s="117" t="s">
        <v>671</v>
      </c>
      <c r="H46" s="117" t="s">
        <v>672</v>
      </c>
      <c r="I46" s="117"/>
      <c r="J46" s="117"/>
      <c r="K46" s="117"/>
      <c r="L46" s="117"/>
      <c r="M46" s="117"/>
      <c r="N46" s="117"/>
      <c r="O46" s="120" t="s">
        <v>1341</v>
      </c>
    </row>
    <row r="47" spans="1:15" ht="123.95" customHeight="1">
      <c r="A47" s="117" t="s">
        <v>1413</v>
      </c>
      <c r="B47" s="118" t="s">
        <v>1414</v>
      </c>
      <c r="C47" s="118" t="s">
        <v>1415</v>
      </c>
      <c r="D47" s="119" t="s">
        <v>242</v>
      </c>
      <c r="E47" s="119" t="s">
        <v>686</v>
      </c>
      <c r="F47" s="117" t="s">
        <v>197</v>
      </c>
      <c r="G47" s="117" t="s">
        <v>671</v>
      </c>
      <c r="H47" s="117" t="s">
        <v>672</v>
      </c>
      <c r="I47" s="117"/>
      <c r="J47" s="117"/>
      <c r="K47" s="117"/>
      <c r="L47" s="117"/>
      <c r="M47" s="117"/>
      <c r="N47" s="117"/>
      <c r="O47" s="120" t="s">
        <v>1341</v>
      </c>
    </row>
    <row r="48" spans="1:15" ht="15.75" customHeight="1">
      <c r="A48" s="114" t="s">
        <v>1416</v>
      </c>
      <c r="B48" s="114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6"/>
    </row>
    <row r="49" spans="1:15" ht="78.95" customHeight="1">
      <c r="A49" s="117" t="s">
        <v>1417</v>
      </c>
      <c r="B49" s="118" t="s">
        <v>1418</v>
      </c>
      <c r="C49" s="118" t="s">
        <v>1419</v>
      </c>
      <c r="D49" s="119" t="s">
        <v>247</v>
      </c>
      <c r="E49" s="119" t="s">
        <v>686</v>
      </c>
      <c r="F49" s="117" t="s">
        <v>197</v>
      </c>
      <c r="G49" s="117" t="s">
        <v>671</v>
      </c>
      <c r="H49" s="117" t="s">
        <v>672</v>
      </c>
      <c r="I49" s="117"/>
      <c r="J49" s="117"/>
      <c r="K49" s="117"/>
      <c r="L49" s="117"/>
      <c r="M49" s="117"/>
      <c r="N49" s="117"/>
      <c r="O49" s="120" t="s">
        <v>1341</v>
      </c>
    </row>
    <row r="50" spans="1:15" ht="123.95" customHeight="1">
      <c r="A50" s="117" t="s">
        <v>1420</v>
      </c>
      <c r="B50" s="118" t="s">
        <v>1421</v>
      </c>
      <c r="C50" s="118" t="s">
        <v>1422</v>
      </c>
      <c r="D50" s="119" t="s">
        <v>242</v>
      </c>
      <c r="E50" s="119" t="s">
        <v>686</v>
      </c>
      <c r="F50" s="117" t="s">
        <v>197</v>
      </c>
      <c r="G50" s="117" t="s">
        <v>671</v>
      </c>
      <c r="H50" s="117" t="s">
        <v>672</v>
      </c>
      <c r="I50" s="117"/>
      <c r="J50" s="117"/>
      <c r="K50" s="117"/>
      <c r="L50" s="117"/>
      <c r="M50" s="117"/>
      <c r="N50" s="117"/>
      <c r="O50" s="120" t="s">
        <v>1341</v>
      </c>
    </row>
    <row r="51" spans="1:15" ht="15.75" customHeight="1">
      <c r="A51" s="114" t="s">
        <v>1423</v>
      </c>
      <c r="B51" s="114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6"/>
    </row>
    <row r="52" spans="1:15" ht="108.95" customHeight="1">
      <c r="A52" s="117" t="s">
        <v>1424</v>
      </c>
      <c r="B52" s="118" t="s">
        <v>1425</v>
      </c>
      <c r="C52" s="118" t="s">
        <v>1426</v>
      </c>
      <c r="D52" s="119" t="s">
        <v>238</v>
      </c>
      <c r="E52" s="119" t="s">
        <v>686</v>
      </c>
      <c r="F52" s="117" t="s">
        <v>197</v>
      </c>
      <c r="G52" s="117" t="s">
        <v>671</v>
      </c>
      <c r="H52" s="117" t="s">
        <v>672</v>
      </c>
      <c r="I52" s="117"/>
      <c r="J52" s="117"/>
      <c r="K52" s="117"/>
      <c r="L52" s="117"/>
      <c r="M52" s="117"/>
      <c r="N52" s="117"/>
      <c r="O52" s="120" t="s">
        <v>1341</v>
      </c>
    </row>
    <row r="53" spans="1:15" ht="138.94999999999999" customHeight="1">
      <c r="A53" s="117" t="s">
        <v>1427</v>
      </c>
      <c r="B53" s="118" t="s">
        <v>1428</v>
      </c>
      <c r="C53" s="118" t="s">
        <v>1429</v>
      </c>
      <c r="D53" s="119" t="s">
        <v>242</v>
      </c>
      <c r="E53" s="119" t="s">
        <v>686</v>
      </c>
      <c r="F53" s="117" t="s">
        <v>197</v>
      </c>
      <c r="G53" s="117" t="s">
        <v>671</v>
      </c>
      <c r="H53" s="117" t="s">
        <v>672</v>
      </c>
      <c r="I53" s="117"/>
      <c r="J53" s="117"/>
      <c r="K53" s="117"/>
      <c r="L53" s="117"/>
      <c r="M53" s="117"/>
      <c r="N53" s="117"/>
      <c r="O53" s="120" t="s">
        <v>1341</v>
      </c>
    </row>
    <row r="54" spans="1:15" ht="15.75" customHeight="1">
      <c r="A54" s="114" t="s">
        <v>1430</v>
      </c>
      <c r="B54" s="114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6"/>
    </row>
    <row r="55" spans="1:15" ht="93.95" customHeight="1">
      <c r="A55" s="117" t="s">
        <v>1431</v>
      </c>
      <c r="B55" s="118" t="s">
        <v>1432</v>
      </c>
      <c r="C55" s="118" t="s">
        <v>1433</v>
      </c>
      <c r="D55" s="119" t="s">
        <v>238</v>
      </c>
      <c r="E55" s="119" t="s">
        <v>686</v>
      </c>
      <c r="F55" s="117" t="s">
        <v>197</v>
      </c>
      <c r="G55" s="117" t="s">
        <v>671</v>
      </c>
      <c r="H55" s="117" t="s">
        <v>672</v>
      </c>
      <c r="I55" s="117"/>
      <c r="J55" s="117"/>
      <c r="K55" s="117"/>
      <c r="L55" s="117"/>
      <c r="M55" s="117"/>
      <c r="N55" s="117"/>
      <c r="O55" s="120" t="s">
        <v>1341</v>
      </c>
    </row>
    <row r="56" spans="1:15" ht="138.94999999999999" customHeight="1">
      <c r="A56" s="117" t="s">
        <v>1434</v>
      </c>
      <c r="B56" s="118" t="s">
        <v>1435</v>
      </c>
      <c r="C56" s="118" t="s">
        <v>1436</v>
      </c>
      <c r="D56" s="119" t="s">
        <v>242</v>
      </c>
      <c r="E56" s="119" t="s">
        <v>686</v>
      </c>
      <c r="F56" s="117" t="s">
        <v>197</v>
      </c>
      <c r="G56" s="117" t="s">
        <v>671</v>
      </c>
      <c r="H56" s="117" t="s">
        <v>672</v>
      </c>
      <c r="I56" s="117"/>
      <c r="J56" s="117"/>
      <c r="K56" s="117"/>
      <c r="L56" s="117"/>
      <c r="M56" s="117"/>
      <c r="N56" s="117"/>
      <c r="O56" s="120" t="s">
        <v>1341</v>
      </c>
    </row>
    <row r="57" spans="1:15" ht="15.75" customHeight="1">
      <c r="A57" s="114" t="s">
        <v>1437</v>
      </c>
      <c r="B57" s="114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6"/>
    </row>
    <row r="58" spans="1:15" ht="93.95" customHeight="1">
      <c r="A58" s="117" t="s">
        <v>1438</v>
      </c>
      <c r="B58" s="118" t="s">
        <v>1439</v>
      </c>
      <c r="C58" s="118" t="s">
        <v>1440</v>
      </c>
      <c r="D58" s="119" t="s">
        <v>238</v>
      </c>
      <c r="E58" s="119" t="s">
        <v>686</v>
      </c>
      <c r="F58" s="117" t="s">
        <v>199</v>
      </c>
      <c r="G58" s="117"/>
      <c r="H58" s="117" t="s">
        <v>672</v>
      </c>
      <c r="I58" s="117"/>
      <c r="J58" s="117"/>
      <c r="K58" s="117"/>
      <c r="L58" s="117"/>
      <c r="M58" s="117"/>
      <c r="N58" s="117"/>
      <c r="O58" s="120" t="s">
        <v>816</v>
      </c>
    </row>
    <row r="59" spans="1:15" ht="138.94999999999999" customHeight="1">
      <c r="A59" s="117" t="s">
        <v>1441</v>
      </c>
      <c r="B59" s="118" t="s">
        <v>1442</v>
      </c>
      <c r="C59" s="118" t="s">
        <v>1443</v>
      </c>
      <c r="D59" s="119" t="s">
        <v>242</v>
      </c>
      <c r="E59" s="119" t="s">
        <v>686</v>
      </c>
      <c r="F59" s="117" t="s">
        <v>199</v>
      </c>
      <c r="G59" s="117"/>
      <c r="H59" s="117" t="s">
        <v>672</v>
      </c>
      <c r="I59" s="117"/>
      <c r="J59" s="117"/>
      <c r="K59" s="117"/>
      <c r="L59" s="117"/>
      <c r="M59" s="117"/>
      <c r="N59" s="117"/>
      <c r="O59" s="120" t="s">
        <v>816</v>
      </c>
    </row>
    <row r="60" spans="1:15" ht="15.75" customHeight="1">
      <c r="A60" s="114" t="s">
        <v>1444</v>
      </c>
      <c r="B60" s="114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6"/>
    </row>
    <row r="61" spans="1:15" ht="93.95" customHeight="1">
      <c r="A61" s="117" t="s">
        <v>1445</v>
      </c>
      <c r="B61" s="118" t="s">
        <v>1446</v>
      </c>
      <c r="C61" s="118" t="s">
        <v>1447</v>
      </c>
      <c r="D61" s="119" t="s">
        <v>260</v>
      </c>
      <c r="E61" s="119" t="s">
        <v>686</v>
      </c>
      <c r="F61" s="117" t="s">
        <v>199</v>
      </c>
      <c r="G61" s="117"/>
      <c r="H61" s="117" t="s">
        <v>672</v>
      </c>
      <c r="I61" s="117"/>
      <c r="J61" s="117"/>
      <c r="K61" s="117"/>
      <c r="L61" s="117"/>
      <c r="M61" s="117"/>
      <c r="N61" s="117"/>
      <c r="O61" s="120" t="s">
        <v>816</v>
      </c>
    </row>
    <row r="62" spans="1:15" ht="138.94999999999999" customHeight="1">
      <c r="A62" s="117" t="s">
        <v>1448</v>
      </c>
      <c r="B62" s="118" t="s">
        <v>1449</v>
      </c>
      <c r="C62" s="118" t="s">
        <v>1450</v>
      </c>
      <c r="D62" s="119" t="s">
        <v>242</v>
      </c>
      <c r="E62" s="119" t="s">
        <v>686</v>
      </c>
      <c r="F62" s="117" t="s">
        <v>199</v>
      </c>
      <c r="G62" s="117"/>
      <c r="H62" s="117" t="s">
        <v>672</v>
      </c>
      <c r="I62" s="117"/>
      <c r="J62" s="117"/>
      <c r="K62" s="117"/>
      <c r="L62" s="117"/>
      <c r="M62" s="117"/>
      <c r="N62" s="117"/>
      <c r="O62" s="120" t="s">
        <v>816</v>
      </c>
    </row>
    <row r="63" spans="1:15" ht="15.75" customHeight="1">
      <c r="A63" s="114" t="s">
        <v>1451</v>
      </c>
      <c r="B63" s="114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6"/>
    </row>
    <row r="64" spans="1:15" ht="93.95" customHeight="1">
      <c r="A64" s="117" t="s">
        <v>1452</v>
      </c>
      <c r="B64" s="118" t="s">
        <v>1453</v>
      </c>
      <c r="C64" s="118" t="s">
        <v>1454</v>
      </c>
      <c r="D64" s="119" t="s">
        <v>260</v>
      </c>
      <c r="E64" s="119" t="s">
        <v>686</v>
      </c>
      <c r="F64" s="117" t="s">
        <v>197</v>
      </c>
      <c r="G64" s="117" t="s">
        <v>671</v>
      </c>
      <c r="H64" s="117" t="s">
        <v>672</v>
      </c>
      <c r="I64" s="117"/>
      <c r="J64" s="117"/>
      <c r="K64" s="117"/>
      <c r="L64" s="117"/>
      <c r="M64" s="117"/>
      <c r="N64" s="117"/>
      <c r="O64" s="120" t="s">
        <v>1341</v>
      </c>
    </row>
    <row r="65" spans="1:15" ht="138.94999999999999" customHeight="1">
      <c r="A65" s="117" t="s">
        <v>1455</v>
      </c>
      <c r="B65" s="118" t="s">
        <v>1456</v>
      </c>
      <c r="C65" s="118" t="s">
        <v>1457</v>
      </c>
      <c r="D65" s="119" t="s">
        <v>242</v>
      </c>
      <c r="E65" s="119" t="s">
        <v>686</v>
      </c>
      <c r="F65" s="117" t="s">
        <v>197</v>
      </c>
      <c r="G65" s="117" t="s">
        <v>671</v>
      </c>
      <c r="H65" s="117" t="s">
        <v>672</v>
      </c>
      <c r="I65" s="117"/>
      <c r="J65" s="117"/>
      <c r="K65" s="117"/>
      <c r="L65" s="117"/>
      <c r="M65" s="117"/>
      <c r="N65" s="117"/>
      <c r="O65" s="120" t="s">
        <v>1341</v>
      </c>
    </row>
    <row r="66" spans="1:15" ht="15.75" customHeight="1">
      <c r="A66" s="114" t="s">
        <v>1458</v>
      </c>
      <c r="B66" s="114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6"/>
    </row>
    <row r="67" spans="1:15" ht="93.95" customHeight="1">
      <c r="A67" s="117" t="s">
        <v>1459</v>
      </c>
      <c r="B67" s="118" t="s">
        <v>1460</v>
      </c>
      <c r="C67" s="118" t="s">
        <v>1461</v>
      </c>
      <c r="D67" s="119" t="s">
        <v>247</v>
      </c>
      <c r="E67" s="119" t="s">
        <v>686</v>
      </c>
      <c r="F67" s="117" t="s">
        <v>199</v>
      </c>
      <c r="G67" s="117"/>
      <c r="H67" s="117" t="s">
        <v>672</v>
      </c>
      <c r="I67" s="117"/>
      <c r="J67" s="117"/>
      <c r="K67" s="117"/>
      <c r="L67" s="117"/>
      <c r="M67" s="117"/>
      <c r="N67" s="117"/>
      <c r="O67" s="120" t="s">
        <v>816</v>
      </c>
    </row>
    <row r="68" spans="1:15" ht="138.94999999999999" customHeight="1">
      <c r="A68" s="117" t="s">
        <v>1462</v>
      </c>
      <c r="B68" s="118" t="s">
        <v>1463</v>
      </c>
      <c r="C68" s="118" t="s">
        <v>1464</v>
      </c>
      <c r="D68" s="119" t="s">
        <v>242</v>
      </c>
      <c r="E68" s="119" t="s">
        <v>686</v>
      </c>
      <c r="F68" s="117" t="s">
        <v>199</v>
      </c>
      <c r="G68" s="117"/>
      <c r="H68" s="117" t="s">
        <v>672</v>
      </c>
      <c r="I68" s="117"/>
      <c r="J68" s="117"/>
      <c r="K68" s="117"/>
      <c r="L68" s="117"/>
      <c r="M68" s="117"/>
      <c r="N68" s="117"/>
      <c r="O68" s="120" t="s">
        <v>816</v>
      </c>
    </row>
    <row r="69" spans="1:15" ht="15.75" customHeight="1">
      <c r="A69" s="114" t="s">
        <v>1465</v>
      </c>
      <c r="B69" s="114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6"/>
    </row>
    <row r="70" spans="1:15" ht="93.95" customHeight="1">
      <c r="A70" s="117" t="s">
        <v>1466</v>
      </c>
      <c r="B70" s="118" t="s">
        <v>1467</v>
      </c>
      <c r="C70" s="118" t="s">
        <v>1468</v>
      </c>
      <c r="D70" s="119" t="s">
        <v>247</v>
      </c>
      <c r="E70" s="119" t="s">
        <v>686</v>
      </c>
      <c r="F70" s="117" t="s">
        <v>197</v>
      </c>
      <c r="G70" s="117" t="s">
        <v>671</v>
      </c>
      <c r="H70" s="117" t="s">
        <v>672</v>
      </c>
      <c r="I70" s="117"/>
      <c r="J70" s="117"/>
      <c r="K70" s="117"/>
      <c r="L70" s="117"/>
      <c r="M70" s="117"/>
      <c r="N70" s="117"/>
      <c r="O70" s="120" t="s">
        <v>1341</v>
      </c>
    </row>
    <row r="71" spans="1:15" ht="138.94999999999999" customHeight="1">
      <c r="A71" s="117" t="s">
        <v>1469</v>
      </c>
      <c r="B71" s="118" t="s">
        <v>1470</v>
      </c>
      <c r="C71" s="118" t="s">
        <v>1471</v>
      </c>
      <c r="D71" s="119" t="s">
        <v>242</v>
      </c>
      <c r="E71" s="119" t="s">
        <v>686</v>
      </c>
      <c r="F71" s="117" t="s">
        <v>197</v>
      </c>
      <c r="G71" s="117" t="s">
        <v>671</v>
      </c>
      <c r="H71" s="117" t="s">
        <v>672</v>
      </c>
      <c r="I71" s="117"/>
      <c r="J71" s="117"/>
      <c r="K71" s="117"/>
      <c r="L71" s="117"/>
      <c r="M71" s="117"/>
      <c r="N71" s="117"/>
      <c r="O71" s="120" t="s">
        <v>1341</v>
      </c>
    </row>
    <row r="72" spans="1:15" ht="15.75" customHeight="1">
      <c r="A72" s="114" t="s">
        <v>293</v>
      </c>
      <c r="B72" s="114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6"/>
    </row>
    <row r="73" spans="1:15" ht="93.95" customHeight="1">
      <c r="A73" s="117" t="s">
        <v>1472</v>
      </c>
      <c r="B73" s="118" t="s">
        <v>803</v>
      </c>
      <c r="C73" s="118" t="s">
        <v>1473</v>
      </c>
      <c r="D73" s="119" t="s">
        <v>805</v>
      </c>
      <c r="E73" s="119" t="s">
        <v>806</v>
      </c>
      <c r="F73" s="117" t="s">
        <v>197</v>
      </c>
      <c r="G73" s="117" t="s">
        <v>671</v>
      </c>
      <c r="H73" s="117" t="s">
        <v>672</v>
      </c>
      <c r="I73" s="117"/>
      <c r="J73" s="117"/>
      <c r="K73" s="117"/>
      <c r="L73" s="117"/>
      <c r="M73" s="117"/>
      <c r="N73" s="117"/>
      <c r="O73" s="120" t="s">
        <v>1341</v>
      </c>
    </row>
    <row r="74" spans="1:15" ht="108.95" customHeight="1">
      <c r="A74" s="117" t="s">
        <v>1474</v>
      </c>
      <c r="B74" s="118" t="s">
        <v>808</v>
      </c>
      <c r="C74" s="118" t="s">
        <v>1475</v>
      </c>
      <c r="D74" s="119" t="s">
        <v>810</v>
      </c>
      <c r="E74" s="119" t="s">
        <v>811</v>
      </c>
      <c r="F74" s="117" t="s">
        <v>197</v>
      </c>
      <c r="G74" s="117" t="s">
        <v>671</v>
      </c>
      <c r="H74" s="117" t="s">
        <v>672</v>
      </c>
      <c r="I74" s="117"/>
      <c r="J74" s="117"/>
      <c r="K74" s="117"/>
      <c r="L74" s="117"/>
      <c r="M74" s="117"/>
      <c r="N74" s="117"/>
      <c r="O74" s="120" t="s">
        <v>1341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21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R37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126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128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17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17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1476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108.95" customHeight="1" outlineLevel="1">
      <c r="A12" s="117" t="s">
        <v>1477</v>
      </c>
      <c r="B12" s="118" t="s">
        <v>1478</v>
      </c>
      <c r="C12" s="118" t="s">
        <v>1479</v>
      </c>
      <c r="D12" s="119" t="s">
        <v>238</v>
      </c>
      <c r="E12" s="119" t="s">
        <v>686</v>
      </c>
      <c r="F12" s="117" t="s">
        <v>197</v>
      </c>
      <c r="G12" s="117" t="s">
        <v>671</v>
      </c>
      <c r="H12" s="117" t="s">
        <v>672</v>
      </c>
      <c r="I12" s="117"/>
      <c r="J12" s="117"/>
      <c r="K12" s="117"/>
      <c r="L12" s="117"/>
      <c r="M12" s="117"/>
      <c r="N12" s="117"/>
      <c r="O12" s="120" t="s">
        <v>1480</v>
      </c>
    </row>
    <row r="13" spans="1:18" ht="138.94999999999999" customHeight="1" outlineLevel="1">
      <c r="A13" s="117" t="s">
        <v>1481</v>
      </c>
      <c r="B13" s="118" t="s">
        <v>1482</v>
      </c>
      <c r="C13" s="118" t="s">
        <v>1483</v>
      </c>
      <c r="D13" s="119" t="s">
        <v>242</v>
      </c>
      <c r="E13" s="119" t="s">
        <v>686</v>
      </c>
      <c r="F13" s="117" t="s">
        <v>197</v>
      </c>
      <c r="G13" s="117" t="s">
        <v>671</v>
      </c>
      <c r="H13" s="117" t="s">
        <v>672</v>
      </c>
      <c r="I13" s="117"/>
      <c r="J13" s="117"/>
      <c r="K13" s="117"/>
      <c r="L13" s="117"/>
      <c r="M13" s="117"/>
      <c r="N13" s="117"/>
      <c r="O13" s="120" t="s">
        <v>1480</v>
      </c>
    </row>
    <row r="14" spans="1:18" ht="15.75" customHeight="1" outlineLevel="1">
      <c r="A14" s="114" t="s">
        <v>1484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108.95" customHeight="1">
      <c r="A15" s="117" t="s">
        <v>1485</v>
      </c>
      <c r="B15" s="118" t="s">
        <v>1486</v>
      </c>
      <c r="C15" s="118" t="s">
        <v>1487</v>
      </c>
      <c r="D15" s="119" t="s">
        <v>238</v>
      </c>
      <c r="E15" s="119" t="s">
        <v>686</v>
      </c>
      <c r="F15" s="117" t="s">
        <v>197</v>
      </c>
      <c r="G15" s="117" t="s">
        <v>671</v>
      </c>
      <c r="H15" s="117" t="s">
        <v>672</v>
      </c>
      <c r="I15" s="117"/>
      <c r="J15" s="117"/>
      <c r="K15" s="117"/>
      <c r="L15" s="117"/>
      <c r="M15" s="117"/>
      <c r="N15" s="117"/>
      <c r="O15" s="120" t="s">
        <v>1480</v>
      </c>
    </row>
    <row r="16" spans="1:18" ht="138.94999999999999" customHeight="1" outlineLevel="1">
      <c r="A16" s="117" t="s">
        <v>1488</v>
      </c>
      <c r="B16" s="118" t="s">
        <v>1489</v>
      </c>
      <c r="C16" s="118" t="s">
        <v>1490</v>
      </c>
      <c r="D16" s="119" t="s">
        <v>242</v>
      </c>
      <c r="E16" s="119" t="s">
        <v>686</v>
      </c>
      <c r="F16" s="117" t="s">
        <v>197</v>
      </c>
      <c r="G16" s="117" t="s">
        <v>671</v>
      </c>
      <c r="H16" s="117" t="s">
        <v>672</v>
      </c>
      <c r="I16" s="117"/>
      <c r="J16" s="117"/>
      <c r="K16" s="117"/>
      <c r="L16" s="117"/>
      <c r="M16" s="117"/>
      <c r="N16" s="117"/>
      <c r="O16" s="120" t="s">
        <v>1480</v>
      </c>
    </row>
    <row r="17" spans="1:15" ht="15.75" customHeight="1" outlineLevel="1">
      <c r="A17" s="114" t="s">
        <v>1491</v>
      </c>
      <c r="B17" s="114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6"/>
    </row>
    <row r="18" spans="1:15" s="21" customFormat="1" ht="108.95" customHeight="1">
      <c r="A18" s="117" t="s">
        <v>1492</v>
      </c>
      <c r="B18" s="118" t="s">
        <v>1493</v>
      </c>
      <c r="C18" s="118" t="s">
        <v>1494</v>
      </c>
      <c r="D18" s="119" t="s">
        <v>238</v>
      </c>
      <c r="E18" s="119" t="s">
        <v>686</v>
      </c>
      <c r="F18" s="117" t="s">
        <v>197</v>
      </c>
      <c r="G18" s="117" t="s">
        <v>671</v>
      </c>
      <c r="H18" s="117" t="s">
        <v>672</v>
      </c>
      <c r="I18" s="117"/>
      <c r="J18" s="117"/>
      <c r="K18" s="117"/>
      <c r="L18" s="117"/>
      <c r="M18" s="117"/>
      <c r="N18" s="117"/>
      <c r="O18" s="120" t="s">
        <v>1480</v>
      </c>
    </row>
    <row r="19" spans="1:15" ht="138.94999999999999" customHeight="1" outlineLevel="1">
      <c r="A19" s="117" t="s">
        <v>1495</v>
      </c>
      <c r="B19" s="118" t="s">
        <v>1496</v>
      </c>
      <c r="C19" s="118" t="s">
        <v>1497</v>
      </c>
      <c r="D19" s="119" t="s">
        <v>242</v>
      </c>
      <c r="E19" s="119" t="s">
        <v>686</v>
      </c>
      <c r="F19" s="117" t="s">
        <v>197</v>
      </c>
      <c r="G19" s="117" t="s">
        <v>671</v>
      </c>
      <c r="H19" s="117" t="s">
        <v>672</v>
      </c>
      <c r="I19" s="117"/>
      <c r="J19" s="117"/>
      <c r="K19" s="117"/>
      <c r="L19" s="117"/>
      <c r="M19" s="117"/>
      <c r="N19" s="117"/>
      <c r="O19" s="120" t="s">
        <v>1480</v>
      </c>
    </row>
    <row r="20" spans="1:15" ht="15.75" customHeight="1">
      <c r="A20" s="114" t="s">
        <v>1498</v>
      </c>
      <c r="B20" s="114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6"/>
    </row>
    <row r="21" spans="1:15" ht="93.95" customHeight="1">
      <c r="A21" s="117" t="s">
        <v>1499</v>
      </c>
      <c r="B21" s="118" t="s">
        <v>1500</v>
      </c>
      <c r="C21" s="118" t="s">
        <v>1501</v>
      </c>
      <c r="D21" s="119" t="s">
        <v>681</v>
      </c>
      <c r="E21" s="119" t="s">
        <v>686</v>
      </c>
      <c r="F21" s="117" t="s">
        <v>197</v>
      </c>
      <c r="G21" s="117" t="s">
        <v>671</v>
      </c>
      <c r="H21" s="117" t="s">
        <v>672</v>
      </c>
      <c r="I21" s="117"/>
      <c r="J21" s="117"/>
      <c r="K21" s="117"/>
      <c r="L21" s="117"/>
      <c r="M21" s="117"/>
      <c r="N21" s="117"/>
      <c r="O21" s="120" t="s">
        <v>1480</v>
      </c>
    </row>
    <row r="22" spans="1:15" ht="15.75" customHeight="1">
      <c r="A22" s="114" t="s">
        <v>1502</v>
      </c>
      <c r="B22" s="114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6"/>
    </row>
    <row r="23" spans="1:15" ht="93.95" customHeight="1">
      <c r="A23" s="117" t="s">
        <v>1503</v>
      </c>
      <c r="B23" s="118" t="s">
        <v>1504</v>
      </c>
      <c r="C23" s="118" t="s">
        <v>1505</v>
      </c>
      <c r="D23" s="119" t="s">
        <v>238</v>
      </c>
      <c r="E23" s="119" t="s">
        <v>686</v>
      </c>
      <c r="F23" s="117" t="s">
        <v>197</v>
      </c>
      <c r="G23" s="117" t="s">
        <v>671</v>
      </c>
      <c r="H23" s="117" t="s">
        <v>672</v>
      </c>
      <c r="I23" s="117"/>
      <c r="J23" s="117"/>
      <c r="K23" s="117"/>
      <c r="L23" s="117"/>
      <c r="M23" s="117"/>
      <c r="N23" s="117"/>
      <c r="O23" s="120" t="s">
        <v>1480</v>
      </c>
    </row>
    <row r="24" spans="1:15" ht="138.94999999999999" customHeight="1">
      <c r="A24" s="117" t="s">
        <v>1506</v>
      </c>
      <c r="B24" s="118" t="s">
        <v>1507</v>
      </c>
      <c r="C24" s="118" t="s">
        <v>1508</v>
      </c>
      <c r="D24" s="119" t="s">
        <v>242</v>
      </c>
      <c r="E24" s="119" t="s">
        <v>686</v>
      </c>
      <c r="F24" s="117" t="s">
        <v>197</v>
      </c>
      <c r="G24" s="117" t="s">
        <v>671</v>
      </c>
      <c r="H24" s="117" t="s">
        <v>672</v>
      </c>
      <c r="I24" s="117"/>
      <c r="J24" s="117"/>
      <c r="K24" s="117"/>
      <c r="L24" s="117"/>
      <c r="M24" s="117"/>
      <c r="N24" s="117"/>
      <c r="O24" s="120" t="s">
        <v>1480</v>
      </c>
    </row>
    <row r="25" spans="1:15" ht="15.75" customHeight="1">
      <c r="A25" s="114" t="s">
        <v>1509</v>
      </c>
      <c r="B25" s="114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6"/>
    </row>
    <row r="26" spans="1:15" ht="108.95" customHeight="1">
      <c r="A26" s="117" t="s">
        <v>1510</v>
      </c>
      <c r="B26" s="118" t="s">
        <v>1511</v>
      </c>
      <c r="C26" s="118" t="s">
        <v>1512</v>
      </c>
      <c r="D26" s="119" t="s">
        <v>238</v>
      </c>
      <c r="E26" s="119" t="s">
        <v>686</v>
      </c>
      <c r="F26" s="117" t="s">
        <v>197</v>
      </c>
      <c r="G26" s="117" t="s">
        <v>671</v>
      </c>
      <c r="H26" s="117" t="s">
        <v>672</v>
      </c>
      <c r="I26" s="117"/>
      <c r="J26" s="117"/>
      <c r="K26" s="117"/>
      <c r="L26" s="117"/>
      <c r="M26" s="117"/>
      <c r="N26" s="117"/>
      <c r="O26" s="120" t="s">
        <v>1480</v>
      </c>
    </row>
    <row r="27" spans="1:15" ht="138.94999999999999" customHeight="1">
      <c r="A27" s="117" t="s">
        <v>1513</v>
      </c>
      <c r="B27" s="118" t="s">
        <v>1514</v>
      </c>
      <c r="C27" s="118" t="s">
        <v>1515</v>
      </c>
      <c r="D27" s="119" t="s">
        <v>242</v>
      </c>
      <c r="E27" s="119" t="s">
        <v>686</v>
      </c>
      <c r="F27" s="117" t="s">
        <v>197</v>
      </c>
      <c r="G27" s="117" t="s">
        <v>671</v>
      </c>
      <c r="H27" s="117" t="s">
        <v>672</v>
      </c>
      <c r="I27" s="117"/>
      <c r="J27" s="117"/>
      <c r="K27" s="117"/>
      <c r="L27" s="117"/>
      <c r="M27" s="117"/>
      <c r="N27" s="117"/>
      <c r="O27" s="120" t="s">
        <v>1480</v>
      </c>
    </row>
    <row r="28" spans="1:15" ht="15.75" customHeight="1">
      <c r="A28" s="114" t="s">
        <v>1374</v>
      </c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6"/>
    </row>
    <row r="29" spans="1:15" ht="108.95" customHeight="1">
      <c r="A29" s="117" t="s">
        <v>1516</v>
      </c>
      <c r="B29" s="118" t="s">
        <v>1376</v>
      </c>
      <c r="C29" s="118" t="s">
        <v>1377</v>
      </c>
      <c r="D29" s="119" t="s">
        <v>260</v>
      </c>
      <c r="E29" s="119" t="s">
        <v>686</v>
      </c>
      <c r="F29" s="117" t="s">
        <v>197</v>
      </c>
      <c r="G29" s="117" t="s">
        <v>671</v>
      </c>
      <c r="H29" s="117" t="s">
        <v>672</v>
      </c>
      <c r="I29" s="117"/>
      <c r="J29" s="117"/>
      <c r="K29" s="117"/>
      <c r="L29" s="117"/>
      <c r="M29" s="117"/>
      <c r="N29" s="117"/>
      <c r="O29" s="120" t="s">
        <v>1480</v>
      </c>
    </row>
    <row r="30" spans="1:15" ht="138.94999999999999" customHeight="1">
      <c r="A30" s="117" t="s">
        <v>1517</v>
      </c>
      <c r="B30" s="118" t="s">
        <v>1379</v>
      </c>
      <c r="C30" s="118" t="s">
        <v>1380</v>
      </c>
      <c r="D30" s="119" t="s">
        <v>242</v>
      </c>
      <c r="E30" s="119" t="s">
        <v>686</v>
      </c>
      <c r="F30" s="117" t="s">
        <v>197</v>
      </c>
      <c r="G30" s="117" t="s">
        <v>671</v>
      </c>
      <c r="H30" s="117" t="s">
        <v>672</v>
      </c>
      <c r="I30" s="117"/>
      <c r="J30" s="117"/>
      <c r="K30" s="117"/>
      <c r="L30" s="117"/>
      <c r="M30" s="117"/>
      <c r="N30" s="117"/>
      <c r="O30" s="120" t="s">
        <v>1480</v>
      </c>
    </row>
    <row r="31" spans="1:15" ht="15.75" customHeight="1">
      <c r="A31" s="114" t="s">
        <v>1518</v>
      </c>
      <c r="B31" s="114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6"/>
    </row>
    <row r="32" spans="1:15" ht="93.95" customHeight="1">
      <c r="A32" s="117" t="s">
        <v>1519</v>
      </c>
      <c r="B32" s="118" t="s">
        <v>1520</v>
      </c>
      <c r="C32" s="118" t="s">
        <v>1521</v>
      </c>
      <c r="D32" s="119" t="s">
        <v>681</v>
      </c>
      <c r="E32" s="119" t="s">
        <v>686</v>
      </c>
      <c r="F32" s="117" t="s">
        <v>197</v>
      </c>
      <c r="G32" s="117" t="s">
        <v>671</v>
      </c>
      <c r="H32" s="117" t="s">
        <v>672</v>
      </c>
      <c r="I32" s="117"/>
      <c r="J32" s="117"/>
      <c r="K32" s="117"/>
      <c r="L32" s="117"/>
      <c r="M32" s="117"/>
      <c r="N32" s="117"/>
      <c r="O32" s="120" t="s">
        <v>1480</v>
      </c>
    </row>
    <row r="33" spans="1:15" ht="15.75" customHeight="1">
      <c r="A33" s="114" t="s">
        <v>1522</v>
      </c>
      <c r="B33" s="114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6"/>
    </row>
    <row r="34" spans="1:15" ht="93.95" customHeight="1">
      <c r="A34" s="117" t="s">
        <v>1523</v>
      </c>
      <c r="B34" s="118" t="s">
        <v>1524</v>
      </c>
      <c r="C34" s="118" t="s">
        <v>1525</v>
      </c>
      <c r="D34" s="119" t="s">
        <v>681</v>
      </c>
      <c r="E34" s="119" t="s">
        <v>686</v>
      </c>
      <c r="F34" s="117" t="s">
        <v>197</v>
      </c>
      <c r="G34" s="117" t="s">
        <v>671</v>
      </c>
      <c r="H34" s="117" t="s">
        <v>672</v>
      </c>
      <c r="I34" s="117"/>
      <c r="J34" s="117"/>
      <c r="K34" s="117"/>
      <c r="L34" s="117"/>
      <c r="M34" s="117"/>
      <c r="N34" s="117"/>
      <c r="O34" s="120" t="s">
        <v>1480</v>
      </c>
    </row>
    <row r="35" spans="1:15" ht="15.75" customHeight="1">
      <c r="A35" s="114" t="s">
        <v>293</v>
      </c>
      <c r="B35" s="114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6"/>
    </row>
    <row r="36" spans="1:15" ht="93.95" customHeight="1">
      <c r="A36" s="117" t="s">
        <v>1526</v>
      </c>
      <c r="B36" s="118" t="s">
        <v>803</v>
      </c>
      <c r="C36" s="118" t="s">
        <v>1527</v>
      </c>
      <c r="D36" s="119" t="s">
        <v>805</v>
      </c>
      <c r="E36" s="119" t="s">
        <v>806</v>
      </c>
      <c r="F36" s="117" t="s">
        <v>197</v>
      </c>
      <c r="G36" s="117" t="s">
        <v>671</v>
      </c>
      <c r="H36" s="117" t="s">
        <v>672</v>
      </c>
      <c r="I36" s="117"/>
      <c r="J36" s="117"/>
      <c r="K36" s="117"/>
      <c r="L36" s="117"/>
      <c r="M36" s="117"/>
      <c r="N36" s="117"/>
      <c r="O36" s="120" t="s">
        <v>1480</v>
      </c>
    </row>
    <row r="37" spans="1:15" ht="108.95" customHeight="1">
      <c r="A37" s="117" t="s">
        <v>1528</v>
      </c>
      <c r="B37" s="118" t="s">
        <v>808</v>
      </c>
      <c r="C37" s="118" t="s">
        <v>1529</v>
      </c>
      <c r="D37" s="119" t="s">
        <v>810</v>
      </c>
      <c r="E37" s="119" t="s">
        <v>811</v>
      </c>
      <c r="F37" s="117" t="s">
        <v>197</v>
      </c>
      <c r="G37" s="117" t="s">
        <v>671</v>
      </c>
      <c r="H37" s="117" t="s">
        <v>672</v>
      </c>
      <c r="I37" s="117"/>
      <c r="J37" s="117"/>
      <c r="K37" s="117"/>
      <c r="L37" s="117"/>
      <c r="M37" s="117"/>
      <c r="N37" s="117"/>
      <c r="O37" s="120" t="s">
        <v>1480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22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129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131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5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5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1374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108.95" customHeight="1" outlineLevel="1">
      <c r="A12" s="117" t="s">
        <v>1530</v>
      </c>
      <c r="B12" s="118" t="s">
        <v>1376</v>
      </c>
      <c r="C12" s="118" t="s">
        <v>1377</v>
      </c>
      <c r="D12" s="119" t="s">
        <v>260</v>
      </c>
      <c r="E12" s="119" t="s">
        <v>686</v>
      </c>
      <c r="F12" s="117" t="s">
        <v>197</v>
      </c>
      <c r="G12" s="117" t="s">
        <v>671</v>
      </c>
      <c r="H12" s="117" t="s">
        <v>672</v>
      </c>
      <c r="I12" s="117"/>
      <c r="J12" s="117"/>
      <c r="K12" s="117"/>
      <c r="L12" s="117"/>
      <c r="M12" s="117"/>
      <c r="N12" s="117"/>
      <c r="O12" s="120" t="s">
        <v>855</v>
      </c>
    </row>
    <row r="13" spans="1:18" ht="138.94999999999999" customHeight="1" outlineLevel="1">
      <c r="A13" s="117" t="s">
        <v>1531</v>
      </c>
      <c r="B13" s="118" t="s">
        <v>1379</v>
      </c>
      <c r="C13" s="118" t="s">
        <v>1380</v>
      </c>
      <c r="D13" s="119" t="s">
        <v>242</v>
      </c>
      <c r="E13" s="119" t="s">
        <v>686</v>
      </c>
      <c r="F13" s="117" t="s">
        <v>197</v>
      </c>
      <c r="G13" s="117" t="s">
        <v>671</v>
      </c>
      <c r="H13" s="117" t="s">
        <v>672</v>
      </c>
      <c r="I13" s="117"/>
      <c r="J13" s="117"/>
      <c r="K13" s="117"/>
      <c r="L13" s="117"/>
      <c r="M13" s="117"/>
      <c r="N13" s="117"/>
      <c r="O13" s="120" t="s">
        <v>855</v>
      </c>
    </row>
    <row r="14" spans="1:18" ht="15.75" customHeight="1" outlineLevel="1">
      <c r="A14" s="114" t="s">
        <v>1390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78.95" customHeight="1">
      <c r="A15" s="117" t="s">
        <v>1532</v>
      </c>
      <c r="B15" s="118" t="s">
        <v>1392</v>
      </c>
      <c r="C15" s="118" t="s">
        <v>1393</v>
      </c>
      <c r="D15" s="119" t="s">
        <v>681</v>
      </c>
      <c r="E15" s="119" t="s">
        <v>686</v>
      </c>
      <c r="F15" s="117" t="s">
        <v>197</v>
      </c>
      <c r="G15" s="117" t="s">
        <v>671</v>
      </c>
      <c r="H15" s="117" t="s">
        <v>672</v>
      </c>
      <c r="I15" s="117"/>
      <c r="J15" s="117"/>
      <c r="K15" s="117"/>
      <c r="L15" s="117"/>
      <c r="M15" s="117"/>
      <c r="N15" s="117"/>
      <c r="O15" s="120" t="s">
        <v>855</v>
      </c>
    </row>
    <row r="16" spans="1:18" ht="15.75" customHeight="1" outlineLevel="1">
      <c r="A16" s="114" t="s">
        <v>293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93.95" customHeight="1" outlineLevel="1">
      <c r="A17" s="117" t="s">
        <v>1533</v>
      </c>
      <c r="B17" s="118" t="s">
        <v>803</v>
      </c>
      <c r="C17" s="118" t="s">
        <v>1534</v>
      </c>
      <c r="D17" s="119" t="s">
        <v>805</v>
      </c>
      <c r="E17" s="119" t="s">
        <v>806</v>
      </c>
      <c r="F17" s="117" t="s">
        <v>197</v>
      </c>
      <c r="G17" s="117" t="s">
        <v>671</v>
      </c>
      <c r="H17" s="117" t="s">
        <v>672</v>
      </c>
      <c r="I17" s="117"/>
      <c r="J17" s="117"/>
      <c r="K17" s="117"/>
      <c r="L17" s="117"/>
      <c r="M17" s="117"/>
      <c r="N17" s="117"/>
      <c r="O17" s="120" t="s">
        <v>855</v>
      </c>
    </row>
    <row r="18" spans="1:15" s="21" customFormat="1" ht="108.95" customHeight="1">
      <c r="A18" s="117" t="s">
        <v>1535</v>
      </c>
      <c r="B18" s="118" t="s">
        <v>808</v>
      </c>
      <c r="C18" s="118" t="s">
        <v>1536</v>
      </c>
      <c r="D18" s="119" t="s">
        <v>810</v>
      </c>
      <c r="E18" s="119" t="s">
        <v>811</v>
      </c>
      <c r="F18" s="117" t="s">
        <v>197</v>
      </c>
      <c r="G18" s="117" t="s">
        <v>671</v>
      </c>
      <c r="H18" s="117" t="s">
        <v>672</v>
      </c>
      <c r="I18" s="117"/>
      <c r="J18" s="117"/>
      <c r="K18" s="117"/>
      <c r="L18" s="117"/>
      <c r="M18" s="117"/>
      <c r="N18" s="117"/>
      <c r="O18" s="120" t="s">
        <v>855</v>
      </c>
    </row>
    <row r="19" spans="1:15" ht="14.1" customHeight="1" outlineLevel="1"/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23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R23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132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134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8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8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1381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1537</v>
      </c>
      <c r="B12" s="118" t="s">
        <v>1383</v>
      </c>
      <c r="C12" s="118" t="s">
        <v>1384</v>
      </c>
      <c r="D12" s="119" t="s">
        <v>238</v>
      </c>
      <c r="E12" s="119" t="s">
        <v>686</v>
      </c>
      <c r="F12" s="117" t="s">
        <v>197</v>
      </c>
      <c r="G12" s="117" t="s">
        <v>671</v>
      </c>
      <c r="H12" s="117" t="s">
        <v>672</v>
      </c>
      <c r="I12" s="117"/>
      <c r="J12" s="117"/>
      <c r="K12" s="117"/>
      <c r="L12" s="117"/>
      <c r="M12" s="117"/>
      <c r="N12" s="117"/>
      <c r="O12" s="120" t="s">
        <v>1538</v>
      </c>
    </row>
    <row r="13" spans="1:18" ht="138.94999999999999" customHeight="1" outlineLevel="1">
      <c r="A13" s="117" t="s">
        <v>1539</v>
      </c>
      <c r="B13" s="118" t="s">
        <v>1386</v>
      </c>
      <c r="C13" s="118" t="s">
        <v>1387</v>
      </c>
      <c r="D13" s="119" t="s">
        <v>242</v>
      </c>
      <c r="E13" s="119" t="s">
        <v>686</v>
      </c>
      <c r="F13" s="117" t="s">
        <v>197</v>
      </c>
      <c r="G13" s="117" t="s">
        <v>671</v>
      </c>
      <c r="H13" s="117" t="s">
        <v>672</v>
      </c>
      <c r="I13" s="117"/>
      <c r="J13" s="117"/>
      <c r="K13" s="117"/>
      <c r="L13" s="117"/>
      <c r="M13" s="117"/>
      <c r="N13" s="117"/>
      <c r="O13" s="120" t="s">
        <v>1538</v>
      </c>
    </row>
    <row r="14" spans="1:18" ht="15.75" customHeight="1" outlineLevel="1">
      <c r="A14" s="114" t="s">
        <v>1390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78.95" customHeight="1">
      <c r="A15" s="117" t="s">
        <v>1540</v>
      </c>
      <c r="B15" s="118" t="s">
        <v>1392</v>
      </c>
      <c r="C15" s="118" t="s">
        <v>1393</v>
      </c>
      <c r="D15" s="119" t="s">
        <v>681</v>
      </c>
      <c r="E15" s="119" t="s">
        <v>686</v>
      </c>
      <c r="F15" s="117" t="s">
        <v>197</v>
      </c>
      <c r="G15" s="117" t="s">
        <v>671</v>
      </c>
      <c r="H15" s="117" t="s">
        <v>672</v>
      </c>
      <c r="I15" s="117"/>
      <c r="J15" s="117"/>
      <c r="K15" s="117"/>
      <c r="L15" s="117"/>
      <c r="M15" s="117"/>
      <c r="N15" s="117"/>
      <c r="O15" s="120" t="s">
        <v>1538</v>
      </c>
    </row>
    <row r="16" spans="1:18" ht="15.75" customHeight="1" outlineLevel="1">
      <c r="A16" s="114" t="s">
        <v>1394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93.95" customHeight="1" outlineLevel="1">
      <c r="A17" s="117" t="s">
        <v>1541</v>
      </c>
      <c r="B17" s="118" t="s">
        <v>1396</v>
      </c>
      <c r="C17" s="118" t="s">
        <v>1397</v>
      </c>
      <c r="D17" s="119" t="s">
        <v>681</v>
      </c>
      <c r="E17" s="119" t="s">
        <v>686</v>
      </c>
      <c r="F17" s="117" t="s">
        <v>197</v>
      </c>
      <c r="G17" s="117" t="s">
        <v>671</v>
      </c>
      <c r="H17" s="117" t="s">
        <v>672</v>
      </c>
      <c r="I17" s="117"/>
      <c r="J17" s="117"/>
      <c r="K17" s="117"/>
      <c r="L17" s="117"/>
      <c r="M17" s="117"/>
      <c r="N17" s="117"/>
      <c r="O17" s="120" t="s">
        <v>1538</v>
      </c>
    </row>
    <row r="18" spans="1:15" s="21" customFormat="1" ht="15.75" customHeight="1">
      <c r="A18" s="114" t="s">
        <v>1542</v>
      </c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</row>
    <row r="19" spans="1:15" ht="93.95" customHeight="1" outlineLevel="1">
      <c r="A19" s="117" t="s">
        <v>1543</v>
      </c>
      <c r="B19" s="118" t="s">
        <v>1544</v>
      </c>
      <c r="C19" s="118" t="s">
        <v>1545</v>
      </c>
      <c r="D19" s="119" t="s">
        <v>238</v>
      </c>
      <c r="E19" s="119" t="s">
        <v>686</v>
      </c>
      <c r="F19" s="117" t="s">
        <v>197</v>
      </c>
      <c r="G19" s="117" t="s">
        <v>671</v>
      </c>
      <c r="H19" s="117" t="s">
        <v>672</v>
      </c>
      <c r="I19" s="117"/>
      <c r="J19" s="117"/>
      <c r="K19" s="117"/>
      <c r="L19" s="117"/>
      <c r="M19" s="117"/>
      <c r="N19" s="117"/>
      <c r="O19" s="120" t="s">
        <v>1538</v>
      </c>
    </row>
    <row r="20" spans="1:15" ht="123.95" customHeight="1">
      <c r="A20" s="117" t="s">
        <v>1546</v>
      </c>
      <c r="B20" s="118" t="s">
        <v>1547</v>
      </c>
      <c r="C20" s="118" t="s">
        <v>1548</v>
      </c>
      <c r="D20" s="119" t="s">
        <v>242</v>
      </c>
      <c r="E20" s="119" t="s">
        <v>686</v>
      </c>
      <c r="F20" s="117" t="s">
        <v>197</v>
      </c>
      <c r="G20" s="117" t="s">
        <v>671</v>
      </c>
      <c r="H20" s="117" t="s">
        <v>672</v>
      </c>
      <c r="I20" s="117"/>
      <c r="J20" s="117"/>
      <c r="K20" s="117"/>
      <c r="L20" s="117"/>
      <c r="M20" s="117"/>
      <c r="N20" s="117"/>
      <c r="O20" s="120" t="s">
        <v>1538</v>
      </c>
    </row>
    <row r="21" spans="1:15" ht="15.75" customHeight="1">
      <c r="A21" s="114" t="s">
        <v>293</v>
      </c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6"/>
    </row>
    <row r="22" spans="1:15" ht="93.95" customHeight="1">
      <c r="A22" s="117" t="s">
        <v>1549</v>
      </c>
      <c r="B22" s="118" t="s">
        <v>803</v>
      </c>
      <c r="C22" s="118" t="s">
        <v>1550</v>
      </c>
      <c r="D22" s="119" t="s">
        <v>805</v>
      </c>
      <c r="E22" s="119" t="s">
        <v>806</v>
      </c>
      <c r="F22" s="117" t="s">
        <v>197</v>
      </c>
      <c r="G22" s="117" t="s">
        <v>671</v>
      </c>
      <c r="H22" s="117" t="s">
        <v>672</v>
      </c>
      <c r="I22" s="117"/>
      <c r="J22" s="117"/>
      <c r="K22" s="117"/>
      <c r="L22" s="117"/>
      <c r="M22" s="117"/>
      <c r="N22" s="117"/>
      <c r="O22" s="120" t="s">
        <v>1538</v>
      </c>
    </row>
    <row r="23" spans="1:15" ht="108.95" customHeight="1">
      <c r="A23" s="117" t="s">
        <v>1551</v>
      </c>
      <c r="B23" s="118" t="s">
        <v>808</v>
      </c>
      <c r="C23" s="118" t="s">
        <v>1552</v>
      </c>
      <c r="D23" s="119" t="s">
        <v>810</v>
      </c>
      <c r="E23" s="119" t="s">
        <v>811</v>
      </c>
      <c r="F23" s="117" t="s">
        <v>197</v>
      </c>
      <c r="G23" s="117" t="s">
        <v>671</v>
      </c>
      <c r="H23" s="117" t="s">
        <v>672</v>
      </c>
      <c r="I23" s="117"/>
      <c r="J23" s="117"/>
      <c r="K23" s="117"/>
      <c r="L23" s="117"/>
      <c r="M23" s="117"/>
      <c r="N23" s="117"/>
      <c r="O23" s="120" t="s">
        <v>1538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24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R21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135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137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7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4</v>
      </c>
      <c r="C6" s="60">
        <f>COUNTIF($F$11:$F$2000,C$5)</f>
        <v>0</v>
      </c>
      <c r="D6" s="60">
        <f>COUNTIF($F$11:$F$2000,D$5)</f>
        <v>3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1553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108.95" customHeight="1" outlineLevel="1">
      <c r="A12" s="117" t="s">
        <v>1554</v>
      </c>
      <c r="B12" s="118" t="s">
        <v>1555</v>
      </c>
      <c r="C12" s="118" t="s">
        <v>1556</v>
      </c>
      <c r="D12" s="119" t="s">
        <v>260</v>
      </c>
      <c r="E12" s="119" t="s">
        <v>686</v>
      </c>
      <c r="F12" s="117" t="s">
        <v>197</v>
      </c>
      <c r="G12" s="117" t="s">
        <v>671</v>
      </c>
      <c r="H12" s="117" t="s">
        <v>672</v>
      </c>
      <c r="I12" s="117"/>
      <c r="J12" s="117"/>
      <c r="K12" s="117"/>
      <c r="L12" s="117"/>
      <c r="M12" s="117"/>
      <c r="N12" s="117"/>
      <c r="O12" s="120" t="s">
        <v>855</v>
      </c>
    </row>
    <row r="13" spans="1:18" ht="138.94999999999999" customHeight="1" outlineLevel="1">
      <c r="A13" s="117" t="s">
        <v>1557</v>
      </c>
      <c r="B13" s="118" t="s">
        <v>1558</v>
      </c>
      <c r="C13" s="118" t="s">
        <v>1559</v>
      </c>
      <c r="D13" s="119" t="s">
        <v>242</v>
      </c>
      <c r="E13" s="119" t="s">
        <v>686</v>
      </c>
      <c r="F13" s="117" t="s">
        <v>197</v>
      </c>
      <c r="G13" s="117" t="s">
        <v>671</v>
      </c>
      <c r="H13" s="117" t="s">
        <v>672</v>
      </c>
      <c r="I13" s="117"/>
      <c r="J13" s="117"/>
      <c r="K13" s="117"/>
      <c r="L13" s="117"/>
      <c r="M13" s="117"/>
      <c r="N13" s="117"/>
      <c r="O13" s="120" t="s">
        <v>855</v>
      </c>
    </row>
    <row r="14" spans="1:18" ht="15.75" customHeight="1" outlineLevel="1">
      <c r="A14" s="114" t="s">
        <v>1560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93.95" customHeight="1">
      <c r="A15" s="117" t="s">
        <v>1561</v>
      </c>
      <c r="B15" s="118" t="s">
        <v>1562</v>
      </c>
      <c r="C15" s="118" t="s">
        <v>1563</v>
      </c>
      <c r="D15" s="119" t="s">
        <v>681</v>
      </c>
      <c r="E15" s="119" t="s">
        <v>686</v>
      </c>
      <c r="F15" s="117" t="s">
        <v>199</v>
      </c>
      <c r="G15" s="117"/>
      <c r="H15" s="117" t="s">
        <v>672</v>
      </c>
      <c r="I15" s="117"/>
      <c r="J15" s="117"/>
      <c r="K15" s="117"/>
      <c r="L15" s="117"/>
      <c r="M15" s="117"/>
      <c r="N15" s="117"/>
      <c r="O15" s="120" t="s">
        <v>816</v>
      </c>
    </row>
    <row r="16" spans="1:18" ht="15.75" customHeight="1" outlineLevel="1">
      <c r="A16" s="114" t="s">
        <v>1564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93.95" customHeight="1" outlineLevel="1">
      <c r="A17" s="117" t="s">
        <v>1565</v>
      </c>
      <c r="B17" s="118" t="s">
        <v>1566</v>
      </c>
      <c r="C17" s="118" t="s">
        <v>1567</v>
      </c>
      <c r="D17" s="119" t="s">
        <v>238</v>
      </c>
      <c r="E17" s="119" t="s">
        <v>686</v>
      </c>
      <c r="F17" s="117" t="s">
        <v>199</v>
      </c>
      <c r="G17" s="117"/>
      <c r="H17" s="117" t="s">
        <v>672</v>
      </c>
      <c r="I17" s="117"/>
      <c r="J17" s="117"/>
      <c r="K17" s="117"/>
      <c r="L17" s="117"/>
      <c r="M17" s="117"/>
      <c r="N17" s="117"/>
      <c r="O17" s="120" t="s">
        <v>816</v>
      </c>
    </row>
    <row r="18" spans="1:15" s="21" customFormat="1" ht="138.94999999999999" customHeight="1">
      <c r="A18" s="117" t="s">
        <v>1568</v>
      </c>
      <c r="B18" s="118" t="s">
        <v>1569</v>
      </c>
      <c r="C18" s="118" t="s">
        <v>1570</v>
      </c>
      <c r="D18" s="119" t="s">
        <v>242</v>
      </c>
      <c r="E18" s="119" t="s">
        <v>686</v>
      </c>
      <c r="F18" s="117" t="s">
        <v>199</v>
      </c>
      <c r="G18" s="117"/>
      <c r="H18" s="117" t="s">
        <v>672</v>
      </c>
      <c r="I18" s="117"/>
      <c r="J18" s="117"/>
      <c r="K18" s="117"/>
      <c r="L18" s="117"/>
      <c r="M18" s="117"/>
      <c r="N18" s="117"/>
      <c r="O18" s="120" t="s">
        <v>816</v>
      </c>
    </row>
    <row r="19" spans="1:15" ht="15.75" customHeight="1" outlineLevel="1">
      <c r="A19" s="114" t="s">
        <v>293</v>
      </c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6"/>
    </row>
    <row r="20" spans="1:15" ht="93.95" customHeight="1">
      <c r="A20" s="117" t="s">
        <v>1571</v>
      </c>
      <c r="B20" s="118" t="s">
        <v>803</v>
      </c>
      <c r="C20" s="118" t="s">
        <v>1572</v>
      </c>
      <c r="D20" s="119" t="s">
        <v>805</v>
      </c>
      <c r="E20" s="119" t="s">
        <v>806</v>
      </c>
      <c r="F20" s="117" t="s">
        <v>197</v>
      </c>
      <c r="G20" s="117" t="s">
        <v>671</v>
      </c>
      <c r="H20" s="117" t="s">
        <v>672</v>
      </c>
      <c r="I20" s="117"/>
      <c r="J20" s="117"/>
      <c r="K20" s="117"/>
      <c r="L20" s="117"/>
      <c r="M20" s="117"/>
      <c r="N20" s="117"/>
      <c r="O20" s="120" t="s">
        <v>855</v>
      </c>
    </row>
    <row r="21" spans="1:15" ht="108.95" customHeight="1">
      <c r="A21" s="117" t="s">
        <v>1573</v>
      </c>
      <c r="B21" s="118" t="s">
        <v>808</v>
      </c>
      <c r="C21" s="118" t="s">
        <v>1574</v>
      </c>
      <c r="D21" s="119" t="s">
        <v>810</v>
      </c>
      <c r="E21" s="119" t="s">
        <v>811</v>
      </c>
      <c r="F21" s="117" t="s">
        <v>197</v>
      </c>
      <c r="G21" s="117" t="s">
        <v>671</v>
      </c>
      <c r="H21" s="117" t="s">
        <v>672</v>
      </c>
      <c r="I21" s="117"/>
      <c r="J21" s="117"/>
      <c r="K21" s="117"/>
      <c r="L21" s="117"/>
      <c r="M21" s="117"/>
      <c r="N21" s="117"/>
      <c r="O21" s="120" t="s">
        <v>855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25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R43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138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140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22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22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1575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138.94999999999999" customHeight="1" outlineLevel="1">
      <c r="A12" s="117" t="s">
        <v>1576</v>
      </c>
      <c r="B12" s="118" t="s">
        <v>1577</v>
      </c>
      <c r="C12" s="118" t="s">
        <v>1578</v>
      </c>
      <c r="D12" s="119" t="s">
        <v>1579</v>
      </c>
      <c r="E12" s="119" t="s">
        <v>1580</v>
      </c>
      <c r="F12" s="117" t="s">
        <v>197</v>
      </c>
      <c r="G12" s="117" t="s">
        <v>1581</v>
      </c>
      <c r="H12" s="117" t="s">
        <v>1112</v>
      </c>
      <c r="I12" s="117"/>
      <c r="J12" s="117"/>
      <c r="K12" s="117"/>
      <c r="L12" s="117"/>
      <c r="M12" s="117"/>
      <c r="N12" s="117"/>
      <c r="O12" s="120" t="s">
        <v>1582</v>
      </c>
    </row>
    <row r="13" spans="1:18" ht="108.95" customHeight="1" outlineLevel="1">
      <c r="A13" s="117" t="s">
        <v>1583</v>
      </c>
      <c r="B13" s="118" t="s">
        <v>1584</v>
      </c>
      <c r="C13" s="118" t="s">
        <v>1585</v>
      </c>
      <c r="D13" s="119" t="s">
        <v>1586</v>
      </c>
      <c r="E13" s="119" t="s">
        <v>1587</v>
      </c>
      <c r="F13" s="117" t="s">
        <v>197</v>
      </c>
      <c r="G13" s="117" t="s">
        <v>1581</v>
      </c>
      <c r="H13" s="117" t="s">
        <v>1112</v>
      </c>
      <c r="I13" s="117"/>
      <c r="J13" s="117"/>
      <c r="K13" s="117"/>
      <c r="L13" s="117"/>
      <c r="M13" s="117"/>
      <c r="N13" s="117"/>
      <c r="O13" s="120" t="s">
        <v>1582</v>
      </c>
    </row>
    <row r="14" spans="1:18" ht="168.95" customHeight="1" outlineLevel="1">
      <c r="A14" s="117" t="s">
        <v>1588</v>
      </c>
      <c r="B14" s="118" t="s">
        <v>1589</v>
      </c>
      <c r="C14" s="118" t="s">
        <v>1590</v>
      </c>
      <c r="D14" s="119" t="s">
        <v>1591</v>
      </c>
      <c r="E14" s="119" t="s">
        <v>1592</v>
      </c>
      <c r="F14" s="117" t="s">
        <v>197</v>
      </c>
      <c r="G14" s="117" t="s">
        <v>1581</v>
      </c>
      <c r="H14" s="117" t="s">
        <v>1112</v>
      </c>
      <c r="I14" s="117"/>
      <c r="J14" s="117"/>
      <c r="K14" s="117"/>
      <c r="L14" s="117"/>
      <c r="M14" s="117"/>
      <c r="N14" s="117"/>
      <c r="O14" s="120" t="s">
        <v>1582</v>
      </c>
    </row>
    <row r="15" spans="1:18" s="21" customFormat="1" ht="138.94999999999999" customHeight="1">
      <c r="A15" s="117" t="s">
        <v>1593</v>
      </c>
      <c r="B15" s="118" t="s">
        <v>1594</v>
      </c>
      <c r="C15" s="118" t="s">
        <v>1595</v>
      </c>
      <c r="D15" s="119" t="s">
        <v>1596</v>
      </c>
      <c r="E15" s="119" t="s">
        <v>1597</v>
      </c>
      <c r="F15" s="117" t="s">
        <v>197</v>
      </c>
      <c r="G15" s="117" t="s">
        <v>1581</v>
      </c>
      <c r="H15" s="117" t="s">
        <v>1112</v>
      </c>
      <c r="I15" s="117"/>
      <c r="J15" s="117"/>
      <c r="K15" s="117"/>
      <c r="L15" s="117"/>
      <c r="M15" s="117"/>
      <c r="N15" s="117"/>
      <c r="O15" s="120" t="s">
        <v>1582</v>
      </c>
    </row>
    <row r="16" spans="1:18" ht="78.95" customHeight="1" outlineLevel="1">
      <c r="A16" s="117" t="s">
        <v>1598</v>
      </c>
      <c r="B16" s="118" t="s">
        <v>1599</v>
      </c>
      <c r="C16" s="118" t="s">
        <v>1600</v>
      </c>
      <c r="D16" s="119" t="s">
        <v>1601</v>
      </c>
      <c r="E16" s="119" t="s">
        <v>1602</v>
      </c>
      <c r="F16" s="117" t="s">
        <v>197</v>
      </c>
      <c r="G16" s="117" t="s">
        <v>1581</v>
      </c>
      <c r="H16" s="117" t="s">
        <v>1112</v>
      </c>
      <c r="I16" s="117"/>
      <c r="J16" s="117"/>
      <c r="K16" s="117"/>
      <c r="L16" s="117"/>
      <c r="M16" s="117"/>
      <c r="N16" s="117"/>
      <c r="O16" s="120" t="s">
        <v>1582</v>
      </c>
    </row>
    <row r="17" spans="1:15" ht="15.75" customHeight="1" outlineLevel="1">
      <c r="A17" s="114" t="s">
        <v>1603</v>
      </c>
      <c r="B17" s="114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6"/>
    </row>
    <row r="18" spans="1:15" s="21" customFormat="1" ht="78.95" customHeight="1">
      <c r="A18" s="117" t="s">
        <v>1604</v>
      </c>
      <c r="B18" s="118" t="s">
        <v>1605</v>
      </c>
      <c r="C18" s="118" t="s">
        <v>1606</v>
      </c>
      <c r="D18" s="119" t="s">
        <v>681</v>
      </c>
      <c r="E18" s="119" t="s">
        <v>670</v>
      </c>
      <c r="F18" s="117" t="s">
        <v>197</v>
      </c>
      <c r="G18" s="117" t="s">
        <v>1581</v>
      </c>
      <c r="H18" s="117" t="s">
        <v>1112</v>
      </c>
      <c r="I18" s="117"/>
      <c r="J18" s="117"/>
      <c r="K18" s="117"/>
      <c r="L18" s="117"/>
      <c r="M18" s="117"/>
      <c r="N18" s="117"/>
      <c r="O18" s="120" t="s">
        <v>1582</v>
      </c>
    </row>
    <row r="19" spans="1:15" ht="15.75" customHeight="1" outlineLevel="1">
      <c r="A19" s="114" t="s">
        <v>1607</v>
      </c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6"/>
    </row>
    <row r="20" spans="1:15" ht="78.95" customHeight="1">
      <c r="A20" s="117" t="s">
        <v>1608</v>
      </c>
      <c r="B20" s="118" t="s">
        <v>1609</v>
      </c>
      <c r="C20" s="118" t="s">
        <v>1610</v>
      </c>
      <c r="D20" s="119" t="s">
        <v>681</v>
      </c>
      <c r="E20" s="119" t="s">
        <v>670</v>
      </c>
      <c r="F20" s="117" t="s">
        <v>197</v>
      </c>
      <c r="G20" s="117" t="s">
        <v>1581</v>
      </c>
      <c r="H20" s="117" t="s">
        <v>1112</v>
      </c>
      <c r="I20" s="117"/>
      <c r="J20" s="117"/>
      <c r="K20" s="117"/>
      <c r="L20" s="117"/>
      <c r="M20" s="117"/>
      <c r="N20" s="117"/>
      <c r="O20" s="120" t="s">
        <v>1582</v>
      </c>
    </row>
    <row r="21" spans="1:15" ht="15.75" customHeight="1">
      <c r="A21" s="114" t="s">
        <v>1611</v>
      </c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6"/>
    </row>
    <row r="22" spans="1:15" ht="93.95" customHeight="1">
      <c r="A22" s="117" t="s">
        <v>1612</v>
      </c>
      <c r="B22" s="118" t="s">
        <v>1613</v>
      </c>
      <c r="C22" s="118" t="s">
        <v>1614</v>
      </c>
      <c r="D22" s="119" t="s">
        <v>238</v>
      </c>
      <c r="E22" s="119" t="s">
        <v>670</v>
      </c>
      <c r="F22" s="117" t="s">
        <v>197</v>
      </c>
      <c r="G22" s="117" t="s">
        <v>1581</v>
      </c>
      <c r="H22" s="117" t="s">
        <v>1112</v>
      </c>
      <c r="I22" s="117"/>
      <c r="J22" s="117"/>
      <c r="K22" s="117"/>
      <c r="L22" s="117"/>
      <c r="M22" s="117"/>
      <c r="N22" s="117"/>
      <c r="O22" s="120" t="s">
        <v>1582</v>
      </c>
    </row>
    <row r="23" spans="1:15" ht="123.95" customHeight="1">
      <c r="A23" s="117" t="s">
        <v>1615</v>
      </c>
      <c r="B23" s="118" t="s">
        <v>1616</v>
      </c>
      <c r="C23" s="118" t="s">
        <v>1617</v>
      </c>
      <c r="D23" s="119" t="s">
        <v>242</v>
      </c>
      <c r="E23" s="119" t="s">
        <v>670</v>
      </c>
      <c r="F23" s="117" t="s">
        <v>197</v>
      </c>
      <c r="G23" s="117" t="s">
        <v>1581</v>
      </c>
      <c r="H23" s="117" t="s">
        <v>1112</v>
      </c>
      <c r="I23" s="117"/>
      <c r="J23" s="117"/>
      <c r="K23" s="117"/>
      <c r="L23" s="117"/>
      <c r="M23" s="117"/>
      <c r="N23" s="117"/>
      <c r="O23" s="120" t="s">
        <v>1582</v>
      </c>
    </row>
    <row r="24" spans="1:15" ht="15.75" customHeight="1">
      <c r="A24" s="114" t="s">
        <v>1618</v>
      </c>
      <c r="B24" s="114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6"/>
    </row>
    <row r="25" spans="1:15" ht="78.95" customHeight="1">
      <c r="A25" s="117" t="s">
        <v>1619</v>
      </c>
      <c r="B25" s="118" t="s">
        <v>1620</v>
      </c>
      <c r="C25" s="118" t="s">
        <v>1621</v>
      </c>
      <c r="D25" s="119" t="s">
        <v>681</v>
      </c>
      <c r="E25" s="119" t="s">
        <v>686</v>
      </c>
      <c r="F25" s="117" t="s">
        <v>197</v>
      </c>
      <c r="G25" s="117" t="s">
        <v>1581</v>
      </c>
      <c r="H25" s="117" t="s">
        <v>1112</v>
      </c>
      <c r="I25" s="117"/>
      <c r="J25" s="117"/>
      <c r="K25" s="117"/>
      <c r="L25" s="117"/>
      <c r="M25" s="117"/>
      <c r="N25" s="117"/>
      <c r="O25" s="120" t="s">
        <v>1582</v>
      </c>
    </row>
    <row r="26" spans="1:15" ht="15.75" customHeight="1">
      <c r="A26" s="114" t="s">
        <v>1622</v>
      </c>
      <c r="B26" s="114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</row>
    <row r="27" spans="1:15" ht="93.95" customHeight="1">
      <c r="A27" s="117" t="s">
        <v>1623</v>
      </c>
      <c r="B27" s="118" t="s">
        <v>1624</v>
      </c>
      <c r="C27" s="118" t="s">
        <v>1625</v>
      </c>
      <c r="D27" s="119" t="s">
        <v>260</v>
      </c>
      <c r="E27" s="119" t="s">
        <v>686</v>
      </c>
      <c r="F27" s="117" t="s">
        <v>197</v>
      </c>
      <c r="G27" s="117" t="s">
        <v>1581</v>
      </c>
      <c r="H27" s="117" t="s">
        <v>1112</v>
      </c>
      <c r="I27" s="117"/>
      <c r="J27" s="117"/>
      <c r="K27" s="117"/>
      <c r="L27" s="117"/>
      <c r="M27" s="117"/>
      <c r="N27" s="117"/>
      <c r="O27" s="120" t="s">
        <v>1582</v>
      </c>
    </row>
    <row r="28" spans="1:15" ht="123.95" customHeight="1">
      <c r="A28" s="117" t="s">
        <v>1626</v>
      </c>
      <c r="B28" s="118" t="s">
        <v>1627</v>
      </c>
      <c r="C28" s="118" t="s">
        <v>1628</v>
      </c>
      <c r="D28" s="119" t="s">
        <v>242</v>
      </c>
      <c r="E28" s="119" t="s">
        <v>686</v>
      </c>
      <c r="F28" s="117" t="s">
        <v>197</v>
      </c>
      <c r="G28" s="117" t="s">
        <v>1581</v>
      </c>
      <c r="H28" s="117" t="s">
        <v>1112</v>
      </c>
      <c r="I28" s="117"/>
      <c r="J28" s="117"/>
      <c r="K28" s="117"/>
      <c r="L28" s="117"/>
      <c r="M28" s="117"/>
      <c r="N28" s="117"/>
      <c r="O28" s="120" t="s">
        <v>1582</v>
      </c>
    </row>
    <row r="29" spans="1:15" ht="15.75" customHeight="1">
      <c r="A29" s="114" t="s">
        <v>1629</v>
      </c>
      <c r="B29" s="114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6"/>
    </row>
    <row r="30" spans="1:15" ht="78.95" customHeight="1">
      <c r="A30" s="117" t="s">
        <v>1630</v>
      </c>
      <c r="B30" s="118" t="s">
        <v>1631</v>
      </c>
      <c r="C30" s="118" t="s">
        <v>1632</v>
      </c>
      <c r="D30" s="119" t="s">
        <v>247</v>
      </c>
      <c r="E30" s="119" t="s">
        <v>686</v>
      </c>
      <c r="F30" s="117" t="s">
        <v>197</v>
      </c>
      <c r="G30" s="117" t="s">
        <v>1581</v>
      </c>
      <c r="H30" s="117" t="s">
        <v>1112</v>
      </c>
      <c r="I30" s="117"/>
      <c r="J30" s="117"/>
      <c r="K30" s="117"/>
      <c r="L30" s="117"/>
      <c r="M30" s="117"/>
      <c r="N30" s="117"/>
      <c r="O30" s="120" t="s">
        <v>1582</v>
      </c>
    </row>
    <row r="31" spans="1:15" ht="123.95" customHeight="1">
      <c r="A31" s="117" t="s">
        <v>1633</v>
      </c>
      <c r="B31" s="118" t="s">
        <v>1634</v>
      </c>
      <c r="C31" s="118" t="s">
        <v>1635</v>
      </c>
      <c r="D31" s="119" t="s">
        <v>242</v>
      </c>
      <c r="E31" s="119" t="s">
        <v>686</v>
      </c>
      <c r="F31" s="117" t="s">
        <v>197</v>
      </c>
      <c r="G31" s="117" t="s">
        <v>1581</v>
      </c>
      <c r="H31" s="117" t="s">
        <v>1112</v>
      </c>
      <c r="I31" s="117"/>
      <c r="J31" s="117"/>
      <c r="K31" s="117"/>
      <c r="L31" s="117"/>
      <c r="M31" s="117"/>
      <c r="N31" s="117"/>
      <c r="O31" s="120" t="s">
        <v>1582</v>
      </c>
    </row>
    <row r="32" spans="1:15" ht="15.75" customHeight="1">
      <c r="A32" s="114" t="s">
        <v>1636</v>
      </c>
      <c r="B32" s="114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6"/>
    </row>
    <row r="33" spans="1:15" ht="93.95" customHeight="1">
      <c r="A33" s="117" t="s">
        <v>1637</v>
      </c>
      <c r="B33" s="118" t="s">
        <v>1638</v>
      </c>
      <c r="C33" s="118" t="s">
        <v>1639</v>
      </c>
      <c r="D33" s="119" t="s">
        <v>238</v>
      </c>
      <c r="E33" s="119" t="s">
        <v>686</v>
      </c>
      <c r="F33" s="117" t="s">
        <v>197</v>
      </c>
      <c r="G33" s="117" t="s">
        <v>1581</v>
      </c>
      <c r="H33" s="117" t="s">
        <v>1112</v>
      </c>
      <c r="I33" s="117"/>
      <c r="J33" s="117"/>
      <c r="K33" s="117"/>
      <c r="L33" s="117"/>
      <c r="M33" s="117"/>
      <c r="N33" s="117"/>
      <c r="O33" s="120" t="s">
        <v>1582</v>
      </c>
    </row>
    <row r="34" spans="1:15" ht="123.95" customHeight="1">
      <c r="A34" s="117" t="s">
        <v>1640</v>
      </c>
      <c r="B34" s="118" t="s">
        <v>1641</v>
      </c>
      <c r="C34" s="118" t="s">
        <v>1642</v>
      </c>
      <c r="D34" s="119" t="s">
        <v>242</v>
      </c>
      <c r="E34" s="119" t="s">
        <v>686</v>
      </c>
      <c r="F34" s="117" t="s">
        <v>197</v>
      </c>
      <c r="G34" s="117" t="s">
        <v>1581</v>
      </c>
      <c r="H34" s="117" t="s">
        <v>1112</v>
      </c>
      <c r="I34" s="117"/>
      <c r="J34" s="117"/>
      <c r="K34" s="117"/>
      <c r="L34" s="117"/>
      <c r="M34" s="117"/>
      <c r="N34" s="117"/>
      <c r="O34" s="120" t="s">
        <v>1582</v>
      </c>
    </row>
    <row r="35" spans="1:15" ht="15.75" customHeight="1">
      <c r="A35" s="114" t="s">
        <v>1643</v>
      </c>
      <c r="B35" s="114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6"/>
    </row>
    <row r="36" spans="1:15" ht="93.95" customHeight="1">
      <c r="A36" s="117" t="s">
        <v>1644</v>
      </c>
      <c r="B36" s="118" t="s">
        <v>1645</v>
      </c>
      <c r="C36" s="118" t="s">
        <v>1646</v>
      </c>
      <c r="D36" s="119" t="s">
        <v>238</v>
      </c>
      <c r="E36" s="119" t="s">
        <v>670</v>
      </c>
      <c r="F36" s="117" t="s">
        <v>197</v>
      </c>
      <c r="G36" s="117" t="s">
        <v>1581</v>
      </c>
      <c r="H36" s="117" t="s">
        <v>1112</v>
      </c>
      <c r="I36" s="117"/>
      <c r="J36" s="117"/>
      <c r="K36" s="117"/>
      <c r="L36" s="117"/>
      <c r="M36" s="117"/>
      <c r="N36" s="117"/>
      <c r="O36" s="120" t="s">
        <v>1582</v>
      </c>
    </row>
    <row r="37" spans="1:15" ht="123.95" customHeight="1">
      <c r="A37" s="117" t="s">
        <v>1647</v>
      </c>
      <c r="B37" s="118" t="s">
        <v>1648</v>
      </c>
      <c r="C37" s="118" t="s">
        <v>1649</v>
      </c>
      <c r="D37" s="119" t="s">
        <v>242</v>
      </c>
      <c r="E37" s="119" t="s">
        <v>670</v>
      </c>
      <c r="F37" s="117" t="s">
        <v>197</v>
      </c>
      <c r="G37" s="117" t="s">
        <v>1581</v>
      </c>
      <c r="H37" s="117" t="s">
        <v>1112</v>
      </c>
      <c r="I37" s="117"/>
      <c r="J37" s="117"/>
      <c r="K37" s="117"/>
      <c r="L37" s="117"/>
      <c r="M37" s="117"/>
      <c r="N37" s="117"/>
      <c r="O37" s="120" t="s">
        <v>1582</v>
      </c>
    </row>
    <row r="38" spans="1:15" ht="15.75" customHeight="1">
      <c r="A38" s="114" t="s">
        <v>1194</v>
      </c>
      <c r="B38" s="114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6"/>
    </row>
    <row r="39" spans="1:15" ht="108.95" customHeight="1">
      <c r="A39" s="117" t="s">
        <v>1650</v>
      </c>
      <c r="B39" s="118" t="s">
        <v>1196</v>
      </c>
      <c r="C39" s="118" t="s">
        <v>1197</v>
      </c>
      <c r="D39" s="119" t="s">
        <v>238</v>
      </c>
      <c r="E39" s="119" t="s">
        <v>686</v>
      </c>
      <c r="F39" s="117" t="s">
        <v>197</v>
      </c>
      <c r="G39" s="117" t="s">
        <v>1581</v>
      </c>
      <c r="H39" s="117" t="s">
        <v>1112</v>
      </c>
      <c r="I39" s="117"/>
      <c r="J39" s="117"/>
      <c r="K39" s="117"/>
      <c r="L39" s="117"/>
      <c r="M39" s="117"/>
      <c r="N39" s="117"/>
      <c r="O39" s="120" t="s">
        <v>1582</v>
      </c>
    </row>
    <row r="40" spans="1:15" ht="138.94999999999999" customHeight="1">
      <c r="A40" s="117" t="s">
        <v>1651</v>
      </c>
      <c r="B40" s="118" t="s">
        <v>1199</v>
      </c>
      <c r="C40" s="118" t="s">
        <v>1200</v>
      </c>
      <c r="D40" s="119" t="s">
        <v>242</v>
      </c>
      <c r="E40" s="119" t="s">
        <v>686</v>
      </c>
      <c r="F40" s="117" t="s">
        <v>197</v>
      </c>
      <c r="G40" s="117" t="s">
        <v>1581</v>
      </c>
      <c r="H40" s="117" t="s">
        <v>1112</v>
      </c>
      <c r="I40" s="117"/>
      <c r="J40" s="117"/>
      <c r="K40" s="117"/>
      <c r="L40" s="117"/>
      <c r="M40" s="117"/>
      <c r="N40" s="117"/>
      <c r="O40" s="120" t="s">
        <v>1582</v>
      </c>
    </row>
    <row r="41" spans="1:15" ht="15.75" customHeight="1">
      <c r="A41" s="114" t="s">
        <v>293</v>
      </c>
      <c r="B41" s="114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6"/>
    </row>
    <row r="42" spans="1:15" ht="78.95" customHeight="1">
      <c r="A42" s="117" t="s">
        <v>1652</v>
      </c>
      <c r="B42" s="118" t="s">
        <v>803</v>
      </c>
      <c r="C42" s="118" t="s">
        <v>1653</v>
      </c>
      <c r="D42" s="119" t="s">
        <v>805</v>
      </c>
      <c r="E42" s="119" t="s">
        <v>806</v>
      </c>
      <c r="F42" s="117" t="s">
        <v>197</v>
      </c>
      <c r="G42" s="117" t="s">
        <v>1581</v>
      </c>
      <c r="H42" s="117" t="s">
        <v>1112</v>
      </c>
      <c r="I42" s="117"/>
      <c r="J42" s="117"/>
      <c r="K42" s="117"/>
      <c r="L42" s="117"/>
      <c r="M42" s="117"/>
      <c r="N42" s="117"/>
      <c r="O42" s="120" t="s">
        <v>1582</v>
      </c>
    </row>
    <row r="43" spans="1:15" ht="93.95" customHeight="1">
      <c r="A43" s="117" t="s">
        <v>1654</v>
      </c>
      <c r="B43" s="118" t="s">
        <v>808</v>
      </c>
      <c r="C43" s="118" t="s">
        <v>1655</v>
      </c>
      <c r="D43" s="119" t="s">
        <v>810</v>
      </c>
      <c r="E43" s="119" t="s">
        <v>811</v>
      </c>
      <c r="F43" s="117" t="s">
        <v>197</v>
      </c>
      <c r="G43" s="117" t="s">
        <v>1581</v>
      </c>
      <c r="H43" s="117" t="s">
        <v>1112</v>
      </c>
      <c r="I43" s="117"/>
      <c r="J43" s="117"/>
      <c r="K43" s="117"/>
      <c r="L43" s="117"/>
      <c r="M43" s="117"/>
      <c r="N43" s="117"/>
      <c r="O43" s="120" t="s">
        <v>1582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26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R34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141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143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15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15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1656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1657</v>
      </c>
      <c r="B12" s="118" t="s">
        <v>1658</v>
      </c>
      <c r="C12" s="118" t="s">
        <v>1659</v>
      </c>
      <c r="D12" s="119" t="s">
        <v>238</v>
      </c>
      <c r="E12" s="119" t="s">
        <v>966</v>
      </c>
      <c r="F12" s="117" t="s">
        <v>197</v>
      </c>
      <c r="G12" s="117" t="s">
        <v>1086</v>
      </c>
      <c r="H12" s="117" t="s">
        <v>1112</v>
      </c>
      <c r="I12" s="117"/>
      <c r="J12" s="117"/>
      <c r="K12" s="117"/>
      <c r="L12" s="117"/>
      <c r="M12" s="117"/>
      <c r="N12" s="117"/>
      <c r="O12" s="120" t="s">
        <v>1087</v>
      </c>
    </row>
    <row r="13" spans="1:18" ht="123.95" customHeight="1" outlineLevel="1">
      <c r="A13" s="117" t="s">
        <v>1660</v>
      </c>
      <c r="B13" s="118" t="s">
        <v>1661</v>
      </c>
      <c r="C13" s="118" t="s">
        <v>1662</v>
      </c>
      <c r="D13" s="119" t="s">
        <v>242</v>
      </c>
      <c r="E13" s="119" t="s">
        <v>966</v>
      </c>
      <c r="F13" s="117" t="s">
        <v>197</v>
      </c>
      <c r="G13" s="117" t="s">
        <v>1086</v>
      </c>
      <c r="H13" s="117" t="s">
        <v>1112</v>
      </c>
      <c r="I13" s="117"/>
      <c r="J13" s="117"/>
      <c r="K13" s="117"/>
      <c r="L13" s="117"/>
      <c r="M13" s="117"/>
      <c r="N13" s="117"/>
      <c r="O13" s="120" t="s">
        <v>1087</v>
      </c>
    </row>
    <row r="14" spans="1:18" ht="15.75" customHeight="1" outlineLevel="1">
      <c r="A14" s="114" t="s">
        <v>1663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93.95" customHeight="1">
      <c r="A15" s="117" t="s">
        <v>1664</v>
      </c>
      <c r="B15" s="118" t="s">
        <v>1665</v>
      </c>
      <c r="C15" s="118" t="s">
        <v>1666</v>
      </c>
      <c r="D15" s="119" t="s">
        <v>238</v>
      </c>
      <c r="E15" s="119" t="s">
        <v>966</v>
      </c>
      <c r="F15" s="117" t="s">
        <v>197</v>
      </c>
      <c r="G15" s="117" t="s">
        <v>1086</v>
      </c>
      <c r="H15" s="117" t="s">
        <v>1112</v>
      </c>
      <c r="I15" s="117"/>
      <c r="J15" s="117"/>
      <c r="K15" s="117"/>
      <c r="L15" s="117"/>
      <c r="M15" s="117"/>
      <c r="N15" s="117"/>
      <c r="O15" s="120" t="s">
        <v>1087</v>
      </c>
    </row>
    <row r="16" spans="1:18" ht="123.95" customHeight="1" outlineLevel="1">
      <c r="A16" s="117" t="s">
        <v>1667</v>
      </c>
      <c r="B16" s="118" t="s">
        <v>1668</v>
      </c>
      <c r="C16" s="118" t="s">
        <v>1669</v>
      </c>
      <c r="D16" s="119" t="s">
        <v>242</v>
      </c>
      <c r="E16" s="119" t="s">
        <v>966</v>
      </c>
      <c r="F16" s="117" t="s">
        <v>197</v>
      </c>
      <c r="G16" s="117" t="s">
        <v>1086</v>
      </c>
      <c r="H16" s="117" t="s">
        <v>1112</v>
      </c>
      <c r="I16" s="117"/>
      <c r="J16" s="117"/>
      <c r="K16" s="117"/>
      <c r="L16" s="117"/>
      <c r="M16" s="117"/>
      <c r="N16" s="117"/>
      <c r="O16" s="120" t="s">
        <v>1087</v>
      </c>
    </row>
    <row r="17" spans="1:15" ht="15.75" customHeight="1" outlineLevel="1">
      <c r="A17" s="114" t="s">
        <v>1670</v>
      </c>
      <c r="B17" s="114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6"/>
    </row>
    <row r="18" spans="1:15" s="21" customFormat="1" ht="93.95" customHeight="1">
      <c r="A18" s="117" t="s">
        <v>1671</v>
      </c>
      <c r="B18" s="118" t="s">
        <v>1672</v>
      </c>
      <c r="C18" s="118" t="s">
        <v>1673</v>
      </c>
      <c r="D18" s="119" t="s">
        <v>238</v>
      </c>
      <c r="E18" s="119" t="s">
        <v>966</v>
      </c>
      <c r="F18" s="117" t="s">
        <v>197</v>
      </c>
      <c r="G18" s="117" t="s">
        <v>1086</v>
      </c>
      <c r="H18" s="117" t="s">
        <v>1112</v>
      </c>
      <c r="I18" s="117"/>
      <c r="J18" s="117"/>
      <c r="K18" s="117"/>
      <c r="L18" s="117"/>
      <c r="M18" s="117"/>
      <c r="N18" s="117"/>
      <c r="O18" s="120" t="s">
        <v>1087</v>
      </c>
    </row>
    <row r="19" spans="1:15" ht="123.95" customHeight="1" outlineLevel="1">
      <c r="A19" s="117" t="s">
        <v>1674</v>
      </c>
      <c r="B19" s="118" t="s">
        <v>1675</v>
      </c>
      <c r="C19" s="118" t="s">
        <v>1676</v>
      </c>
      <c r="D19" s="119" t="s">
        <v>242</v>
      </c>
      <c r="E19" s="119" t="s">
        <v>966</v>
      </c>
      <c r="F19" s="117" t="s">
        <v>197</v>
      </c>
      <c r="G19" s="117" t="s">
        <v>1086</v>
      </c>
      <c r="H19" s="117" t="s">
        <v>1112</v>
      </c>
      <c r="I19" s="117"/>
      <c r="J19" s="117"/>
      <c r="K19" s="117"/>
      <c r="L19" s="117"/>
      <c r="M19" s="117"/>
      <c r="N19" s="117"/>
      <c r="O19" s="120" t="s">
        <v>1087</v>
      </c>
    </row>
    <row r="20" spans="1:15" ht="15.75" customHeight="1">
      <c r="A20" s="114" t="s">
        <v>1677</v>
      </c>
      <c r="B20" s="114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6"/>
    </row>
    <row r="21" spans="1:15" ht="93.95" customHeight="1">
      <c r="A21" s="117" t="s">
        <v>1678</v>
      </c>
      <c r="B21" s="118" t="s">
        <v>1679</v>
      </c>
      <c r="C21" s="118" t="s">
        <v>1680</v>
      </c>
      <c r="D21" s="119" t="s">
        <v>238</v>
      </c>
      <c r="E21" s="119" t="s">
        <v>966</v>
      </c>
      <c r="F21" s="117" t="s">
        <v>197</v>
      </c>
      <c r="G21" s="117" t="s">
        <v>1086</v>
      </c>
      <c r="H21" s="117" t="s">
        <v>1112</v>
      </c>
      <c r="I21" s="117"/>
      <c r="J21" s="117"/>
      <c r="K21" s="117"/>
      <c r="L21" s="117"/>
      <c r="M21" s="117"/>
      <c r="N21" s="117"/>
      <c r="O21" s="120" t="s">
        <v>1087</v>
      </c>
    </row>
    <row r="22" spans="1:15" ht="123.95" customHeight="1">
      <c r="A22" s="117" t="s">
        <v>1681</v>
      </c>
      <c r="B22" s="118" t="s">
        <v>1682</v>
      </c>
      <c r="C22" s="118" t="s">
        <v>1683</v>
      </c>
      <c r="D22" s="119" t="s">
        <v>242</v>
      </c>
      <c r="E22" s="119" t="s">
        <v>966</v>
      </c>
      <c r="F22" s="117" t="s">
        <v>197</v>
      </c>
      <c r="G22" s="117" t="s">
        <v>1086</v>
      </c>
      <c r="H22" s="117" t="s">
        <v>1112</v>
      </c>
      <c r="I22" s="117"/>
      <c r="J22" s="117"/>
      <c r="K22" s="117"/>
      <c r="L22" s="117"/>
      <c r="M22" s="117"/>
      <c r="N22" s="117"/>
      <c r="O22" s="120" t="s">
        <v>1087</v>
      </c>
    </row>
    <row r="23" spans="1:15" ht="15.75" customHeight="1">
      <c r="A23" s="114" t="s">
        <v>1684</v>
      </c>
      <c r="B23" s="114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6"/>
    </row>
    <row r="24" spans="1:15" ht="93.95" customHeight="1">
      <c r="A24" s="117" t="s">
        <v>1685</v>
      </c>
      <c r="B24" s="118" t="s">
        <v>1686</v>
      </c>
      <c r="C24" s="118" t="s">
        <v>1687</v>
      </c>
      <c r="D24" s="119" t="s">
        <v>238</v>
      </c>
      <c r="E24" s="119" t="s">
        <v>966</v>
      </c>
      <c r="F24" s="117" t="s">
        <v>197</v>
      </c>
      <c r="G24" s="117" t="s">
        <v>1086</v>
      </c>
      <c r="H24" s="117" t="s">
        <v>1112</v>
      </c>
      <c r="I24" s="117"/>
      <c r="J24" s="117"/>
      <c r="K24" s="117"/>
      <c r="L24" s="117"/>
      <c r="M24" s="117"/>
      <c r="N24" s="117"/>
      <c r="O24" s="120" t="s">
        <v>1087</v>
      </c>
    </row>
    <row r="25" spans="1:15" ht="123.95" customHeight="1">
      <c r="A25" s="117" t="s">
        <v>1688</v>
      </c>
      <c r="B25" s="118" t="s">
        <v>1689</v>
      </c>
      <c r="C25" s="118" t="s">
        <v>1690</v>
      </c>
      <c r="D25" s="119" t="s">
        <v>242</v>
      </c>
      <c r="E25" s="119" t="s">
        <v>966</v>
      </c>
      <c r="F25" s="117" t="s">
        <v>197</v>
      </c>
      <c r="G25" s="117" t="s">
        <v>1086</v>
      </c>
      <c r="H25" s="117" t="s">
        <v>1112</v>
      </c>
      <c r="I25" s="117"/>
      <c r="J25" s="117"/>
      <c r="K25" s="117"/>
      <c r="L25" s="117"/>
      <c r="M25" s="117"/>
      <c r="N25" s="117"/>
      <c r="O25" s="120" t="s">
        <v>1087</v>
      </c>
    </row>
    <row r="26" spans="1:15" ht="15.75" customHeight="1">
      <c r="A26" s="114" t="s">
        <v>1117</v>
      </c>
      <c r="B26" s="114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</row>
    <row r="27" spans="1:15" ht="78.95" customHeight="1">
      <c r="A27" s="117" t="s">
        <v>1691</v>
      </c>
      <c r="B27" s="118" t="s">
        <v>1119</v>
      </c>
      <c r="C27" s="118" t="s">
        <v>1692</v>
      </c>
      <c r="D27" s="119" t="s">
        <v>681</v>
      </c>
      <c r="E27" s="119" t="s">
        <v>915</v>
      </c>
      <c r="F27" s="117" t="s">
        <v>197</v>
      </c>
      <c r="G27" s="117" t="s">
        <v>1086</v>
      </c>
      <c r="H27" s="117" t="s">
        <v>1112</v>
      </c>
      <c r="I27" s="117"/>
      <c r="J27" s="117"/>
      <c r="K27" s="117"/>
      <c r="L27" s="117"/>
      <c r="M27" s="117"/>
      <c r="N27" s="117"/>
      <c r="O27" s="120" t="s">
        <v>1087</v>
      </c>
    </row>
    <row r="28" spans="1:15" ht="15.75" customHeight="1">
      <c r="A28" s="114" t="s">
        <v>1693</v>
      </c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6"/>
    </row>
    <row r="29" spans="1:15" ht="63.95" customHeight="1">
      <c r="A29" s="117" t="s">
        <v>1694</v>
      </c>
      <c r="B29" s="118" t="s">
        <v>1695</v>
      </c>
      <c r="C29" s="118" t="s">
        <v>1696</v>
      </c>
      <c r="D29" s="119" t="s">
        <v>225</v>
      </c>
      <c r="E29" s="119" t="s">
        <v>878</v>
      </c>
      <c r="F29" s="117" t="s">
        <v>197</v>
      </c>
      <c r="G29" s="117" t="s">
        <v>1086</v>
      </c>
      <c r="H29" s="117" t="s">
        <v>1112</v>
      </c>
      <c r="I29" s="117"/>
      <c r="J29" s="117"/>
      <c r="K29" s="117"/>
      <c r="L29" s="117"/>
      <c r="M29" s="117"/>
      <c r="N29" s="117"/>
      <c r="O29" s="120" t="s">
        <v>1087</v>
      </c>
    </row>
    <row r="30" spans="1:15" ht="15.75" customHeight="1">
      <c r="A30" s="114" t="s">
        <v>1099</v>
      </c>
      <c r="B30" s="114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6"/>
    </row>
    <row r="31" spans="1:15" ht="63.95" customHeight="1">
      <c r="A31" s="117" t="s">
        <v>1697</v>
      </c>
      <c r="B31" s="118" t="s">
        <v>1101</v>
      </c>
      <c r="C31" s="118" t="s">
        <v>1102</v>
      </c>
      <c r="D31" s="119" t="s">
        <v>225</v>
      </c>
      <c r="E31" s="119" t="s">
        <v>1103</v>
      </c>
      <c r="F31" s="117" t="s">
        <v>197</v>
      </c>
      <c r="G31" s="117" t="s">
        <v>1086</v>
      </c>
      <c r="H31" s="117" t="s">
        <v>1112</v>
      </c>
      <c r="I31" s="117"/>
      <c r="J31" s="117"/>
      <c r="K31" s="117"/>
      <c r="L31" s="117"/>
      <c r="M31" s="117"/>
      <c r="N31" s="117"/>
      <c r="O31" s="120" t="s">
        <v>1087</v>
      </c>
    </row>
    <row r="32" spans="1:15" ht="15.75" customHeight="1">
      <c r="A32" s="114" t="s">
        <v>293</v>
      </c>
      <c r="B32" s="114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6"/>
    </row>
    <row r="33" spans="1:15" ht="78.95" customHeight="1">
      <c r="A33" s="117" t="s">
        <v>1698</v>
      </c>
      <c r="B33" s="118" t="s">
        <v>803</v>
      </c>
      <c r="C33" s="118" t="s">
        <v>1699</v>
      </c>
      <c r="D33" s="119" t="s">
        <v>805</v>
      </c>
      <c r="E33" s="119" t="s">
        <v>806</v>
      </c>
      <c r="F33" s="117" t="s">
        <v>197</v>
      </c>
      <c r="G33" s="117" t="s">
        <v>1086</v>
      </c>
      <c r="H33" s="117" t="s">
        <v>1112</v>
      </c>
      <c r="I33" s="117"/>
      <c r="J33" s="117"/>
      <c r="K33" s="117"/>
      <c r="L33" s="117"/>
      <c r="M33" s="117"/>
      <c r="N33" s="117"/>
      <c r="O33" s="120" t="s">
        <v>1087</v>
      </c>
    </row>
    <row r="34" spans="1:15" ht="108.95" customHeight="1">
      <c r="A34" s="117" t="s">
        <v>1700</v>
      </c>
      <c r="B34" s="118" t="s">
        <v>808</v>
      </c>
      <c r="C34" s="118" t="s">
        <v>1701</v>
      </c>
      <c r="D34" s="119" t="s">
        <v>810</v>
      </c>
      <c r="E34" s="119" t="s">
        <v>811</v>
      </c>
      <c r="F34" s="117" t="s">
        <v>197</v>
      </c>
      <c r="G34" s="117" t="s">
        <v>1086</v>
      </c>
      <c r="H34" s="117" t="s">
        <v>1112</v>
      </c>
      <c r="I34" s="117"/>
      <c r="J34" s="117"/>
      <c r="K34" s="117"/>
      <c r="L34" s="117"/>
      <c r="M34" s="117"/>
      <c r="N34" s="117"/>
      <c r="O34" s="120" t="s">
        <v>1087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27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144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146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5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5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1702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1703</v>
      </c>
      <c r="B12" s="118" t="s">
        <v>1704</v>
      </c>
      <c r="C12" s="118" t="s">
        <v>1705</v>
      </c>
      <c r="D12" s="119" t="s">
        <v>260</v>
      </c>
      <c r="E12" s="119" t="s">
        <v>686</v>
      </c>
      <c r="F12" s="117" t="s">
        <v>197</v>
      </c>
      <c r="G12" s="117" t="s">
        <v>1086</v>
      </c>
      <c r="H12" s="117" t="s">
        <v>1112</v>
      </c>
      <c r="I12" s="117"/>
      <c r="J12" s="117"/>
      <c r="K12" s="117"/>
      <c r="L12" s="117"/>
      <c r="M12" s="117"/>
      <c r="N12" s="117"/>
      <c r="O12" s="120" t="s">
        <v>1087</v>
      </c>
    </row>
    <row r="13" spans="1:18" ht="123.95" customHeight="1" outlineLevel="1">
      <c r="A13" s="117" t="s">
        <v>1706</v>
      </c>
      <c r="B13" s="118" t="s">
        <v>1707</v>
      </c>
      <c r="C13" s="118" t="s">
        <v>1708</v>
      </c>
      <c r="D13" s="119" t="s">
        <v>242</v>
      </c>
      <c r="E13" s="119" t="s">
        <v>686</v>
      </c>
      <c r="F13" s="117" t="s">
        <v>197</v>
      </c>
      <c r="G13" s="117" t="s">
        <v>1086</v>
      </c>
      <c r="H13" s="117" t="s">
        <v>1112</v>
      </c>
      <c r="I13" s="117"/>
      <c r="J13" s="117"/>
      <c r="K13" s="117"/>
      <c r="L13" s="117"/>
      <c r="M13" s="117"/>
      <c r="N13" s="117"/>
      <c r="O13" s="120" t="s">
        <v>1087</v>
      </c>
    </row>
    <row r="14" spans="1:18" ht="15.75" customHeight="1" outlineLevel="1">
      <c r="A14" s="114" t="s">
        <v>1709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78.95" customHeight="1">
      <c r="A15" s="117" t="s">
        <v>1710</v>
      </c>
      <c r="B15" s="118" t="s">
        <v>1711</v>
      </c>
      <c r="C15" s="118" t="s">
        <v>1712</v>
      </c>
      <c r="D15" s="119" t="s">
        <v>681</v>
      </c>
      <c r="E15" s="119" t="s">
        <v>686</v>
      </c>
      <c r="F15" s="117" t="s">
        <v>197</v>
      </c>
      <c r="G15" s="117" t="s">
        <v>1086</v>
      </c>
      <c r="H15" s="117" t="s">
        <v>1112</v>
      </c>
      <c r="I15" s="117"/>
      <c r="J15" s="117"/>
      <c r="K15" s="117"/>
      <c r="L15" s="117"/>
      <c r="M15" s="117"/>
      <c r="N15" s="117"/>
      <c r="O15" s="120" t="s">
        <v>1087</v>
      </c>
    </row>
    <row r="16" spans="1:18" ht="15.75" customHeight="1" outlineLevel="1">
      <c r="A16" s="114" t="s">
        <v>293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78.95" customHeight="1" outlineLevel="1">
      <c r="A17" s="117" t="s">
        <v>1713</v>
      </c>
      <c r="B17" s="118" t="s">
        <v>803</v>
      </c>
      <c r="C17" s="118" t="s">
        <v>1714</v>
      </c>
      <c r="D17" s="119" t="s">
        <v>805</v>
      </c>
      <c r="E17" s="119" t="s">
        <v>806</v>
      </c>
      <c r="F17" s="117" t="s">
        <v>197</v>
      </c>
      <c r="G17" s="117" t="s">
        <v>1086</v>
      </c>
      <c r="H17" s="117" t="s">
        <v>1112</v>
      </c>
      <c r="I17" s="117"/>
      <c r="J17" s="117"/>
      <c r="K17" s="117"/>
      <c r="L17" s="117"/>
      <c r="M17" s="117"/>
      <c r="N17" s="117"/>
      <c r="O17" s="120" t="s">
        <v>1087</v>
      </c>
    </row>
    <row r="18" spans="1:15" s="21" customFormat="1" ht="108.95" customHeight="1">
      <c r="A18" s="117" t="s">
        <v>1715</v>
      </c>
      <c r="B18" s="118" t="s">
        <v>808</v>
      </c>
      <c r="C18" s="118" t="s">
        <v>1716</v>
      </c>
      <c r="D18" s="119" t="s">
        <v>810</v>
      </c>
      <c r="E18" s="119" t="s">
        <v>811</v>
      </c>
      <c r="F18" s="117" t="s">
        <v>197</v>
      </c>
      <c r="G18" s="117" t="s">
        <v>1086</v>
      </c>
      <c r="H18" s="117" t="s">
        <v>1112</v>
      </c>
      <c r="I18" s="117"/>
      <c r="J18" s="117"/>
      <c r="K18" s="117"/>
      <c r="L18" s="117"/>
      <c r="M18" s="117"/>
      <c r="N18" s="117"/>
      <c r="O18" s="120" t="s">
        <v>1087</v>
      </c>
    </row>
    <row r="19" spans="1:15" ht="14.1" customHeight="1" outlineLevel="1"/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28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147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149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5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5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1717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1718</v>
      </c>
      <c r="B12" s="118" t="s">
        <v>1719</v>
      </c>
      <c r="C12" s="118" t="s">
        <v>1720</v>
      </c>
      <c r="D12" s="119" t="s">
        <v>681</v>
      </c>
      <c r="E12" s="119" t="s">
        <v>966</v>
      </c>
      <c r="F12" s="117" t="s">
        <v>197</v>
      </c>
      <c r="G12" s="117" t="s">
        <v>1086</v>
      </c>
      <c r="H12" s="117" t="s">
        <v>1112</v>
      </c>
      <c r="I12" s="117"/>
      <c r="J12" s="117"/>
      <c r="K12" s="117"/>
      <c r="L12" s="117"/>
      <c r="M12" s="117"/>
      <c r="N12" s="117"/>
      <c r="O12" s="120" t="s">
        <v>1087</v>
      </c>
    </row>
    <row r="13" spans="1:18" ht="15.75" customHeight="1" outlineLevel="1">
      <c r="A13" s="114" t="s">
        <v>1721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93.95" customHeight="1" outlineLevel="1">
      <c r="A14" s="117" t="s">
        <v>1722</v>
      </c>
      <c r="B14" s="118" t="s">
        <v>1723</v>
      </c>
      <c r="C14" s="118" t="s">
        <v>1724</v>
      </c>
      <c r="D14" s="119" t="s">
        <v>260</v>
      </c>
      <c r="E14" s="119" t="s">
        <v>966</v>
      </c>
      <c r="F14" s="117" t="s">
        <v>197</v>
      </c>
      <c r="G14" s="117" t="s">
        <v>1086</v>
      </c>
      <c r="H14" s="117" t="s">
        <v>1112</v>
      </c>
      <c r="I14" s="117"/>
      <c r="J14" s="117"/>
      <c r="K14" s="117"/>
      <c r="L14" s="117"/>
      <c r="M14" s="117"/>
      <c r="N14" s="117"/>
      <c r="O14" s="120" t="s">
        <v>1087</v>
      </c>
    </row>
    <row r="15" spans="1:18" s="21" customFormat="1" ht="123.95" customHeight="1">
      <c r="A15" s="117" t="s">
        <v>1725</v>
      </c>
      <c r="B15" s="118" t="s">
        <v>1726</v>
      </c>
      <c r="C15" s="118" t="s">
        <v>1727</v>
      </c>
      <c r="D15" s="119" t="s">
        <v>242</v>
      </c>
      <c r="E15" s="119" t="s">
        <v>966</v>
      </c>
      <c r="F15" s="117" t="s">
        <v>197</v>
      </c>
      <c r="G15" s="117" t="s">
        <v>1086</v>
      </c>
      <c r="H15" s="117" t="s">
        <v>1112</v>
      </c>
      <c r="I15" s="117"/>
      <c r="J15" s="117"/>
      <c r="K15" s="117"/>
      <c r="L15" s="117"/>
      <c r="M15" s="117"/>
      <c r="N15" s="117"/>
      <c r="O15" s="120" t="s">
        <v>1087</v>
      </c>
    </row>
    <row r="16" spans="1:18" ht="15.75" customHeight="1" outlineLevel="1">
      <c r="A16" s="114" t="s">
        <v>293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78.95" customHeight="1" outlineLevel="1">
      <c r="A17" s="117" t="s">
        <v>1728</v>
      </c>
      <c r="B17" s="118" t="s">
        <v>803</v>
      </c>
      <c r="C17" s="118" t="s">
        <v>1729</v>
      </c>
      <c r="D17" s="119" t="s">
        <v>805</v>
      </c>
      <c r="E17" s="119" t="s">
        <v>806</v>
      </c>
      <c r="F17" s="117" t="s">
        <v>197</v>
      </c>
      <c r="G17" s="117" t="s">
        <v>1086</v>
      </c>
      <c r="H17" s="117" t="s">
        <v>1112</v>
      </c>
      <c r="I17" s="117"/>
      <c r="J17" s="117"/>
      <c r="K17" s="117"/>
      <c r="L17" s="117"/>
      <c r="M17" s="117"/>
      <c r="N17" s="117"/>
      <c r="O17" s="120" t="s">
        <v>1087</v>
      </c>
    </row>
    <row r="18" spans="1:15" s="21" customFormat="1" ht="108.95" customHeight="1">
      <c r="A18" s="117" t="s">
        <v>1730</v>
      </c>
      <c r="B18" s="118" t="s">
        <v>808</v>
      </c>
      <c r="C18" s="118" t="s">
        <v>1731</v>
      </c>
      <c r="D18" s="119" t="s">
        <v>810</v>
      </c>
      <c r="E18" s="119" t="s">
        <v>811</v>
      </c>
      <c r="F18" s="117" t="s">
        <v>197</v>
      </c>
      <c r="G18" s="117" t="s">
        <v>1086</v>
      </c>
      <c r="H18" s="117" t="s">
        <v>1112</v>
      </c>
      <c r="I18" s="117"/>
      <c r="J18" s="117"/>
      <c r="K18" s="117"/>
      <c r="L18" s="117"/>
      <c r="M18" s="117"/>
      <c r="N18" s="117"/>
      <c r="O18" s="120" t="s">
        <v>1087</v>
      </c>
    </row>
    <row r="19" spans="1:15" ht="14.1" customHeight="1" outlineLevel="1"/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29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R37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150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152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16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16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1732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1733</v>
      </c>
      <c r="B12" s="118" t="s">
        <v>1734</v>
      </c>
      <c r="C12" s="118" t="s">
        <v>1735</v>
      </c>
      <c r="D12" s="119" t="s">
        <v>238</v>
      </c>
      <c r="E12" s="119" t="s">
        <v>966</v>
      </c>
      <c r="F12" s="117" t="s">
        <v>197</v>
      </c>
      <c r="G12" s="117" t="s">
        <v>1581</v>
      </c>
      <c r="H12" s="117" t="s">
        <v>1112</v>
      </c>
      <c r="I12" s="117"/>
      <c r="J12" s="117"/>
      <c r="K12" s="117"/>
      <c r="L12" s="117"/>
      <c r="M12" s="117"/>
      <c r="N12" s="117"/>
      <c r="O12" s="120" t="s">
        <v>1186</v>
      </c>
    </row>
    <row r="13" spans="1:18" ht="123.95" customHeight="1" outlineLevel="1">
      <c r="A13" s="117" t="s">
        <v>1736</v>
      </c>
      <c r="B13" s="118" t="s">
        <v>1737</v>
      </c>
      <c r="C13" s="118" t="s">
        <v>1738</v>
      </c>
      <c r="D13" s="119" t="s">
        <v>242</v>
      </c>
      <c r="E13" s="119" t="s">
        <v>966</v>
      </c>
      <c r="F13" s="117" t="s">
        <v>197</v>
      </c>
      <c r="G13" s="117" t="s">
        <v>1581</v>
      </c>
      <c r="H13" s="117" t="s">
        <v>1112</v>
      </c>
      <c r="I13" s="117"/>
      <c r="J13" s="117"/>
      <c r="K13" s="117"/>
      <c r="L13" s="117"/>
      <c r="M13" s="117"/>
      <c r="N13" s="117"/>
      <c r="O13" s="120" t="s">
        <v>1186</v>
      </c>
    </row>
    <row r="14" spans="1:18" ht="15.75" customHeight="1" outlineLevel="1">
      <c r="A14" s="114" t="s">
        <v>1739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78.95" customHeight="1">
      <c r="A15" s="117" t="s">
        <v>1740</v>
      </c>
      <c r="B15" s="118" t="s">
        <v>1741</v>
      </c>
      <c r="C15" s="118" t="s">
        <v>1742</v>
      </c>
      <c r="D15" s="119" t="s">
        <v>681</v>
      </c>
      <c r="E15" s="119" t="s">
        <v>915</v>
      </c>
      <c r="F15" s="117" t="s">
        <v>197</v>
      </c>
      <c r="G15" s="117" t="s">
        <v>1581</v>
      </c>
      <c r="H15" s="117" t="s">
        <v>1112</v>
      </c>
      <c r="I15" s="117"/>
      <c r="J15" s="117"/>
      <c r="K15" s="117"/>
      <c r="L15" s="117"/>
      <c r="M15" s="117"/>
      <c r="N15" s="117"/>
      <c r="O15" s="120" t="s">
        <v>1186</v>
      </c>
    </row>
    <row r="16" spans="1:18" ht="15.75" customHeight="1" outlineLevel="1">
      <c r="A16" s="114" t="s">
        <v>1743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78.95" customHeight="1" outlineLevel="1">
      <c r="A17" s="117" t="s">
        <v>1744</v>
      </c>
      <c r="B17" s="118" t="s">
        <v>1745</v>
      </c>
      <c r="C17" s="118" t="s">
        <v>1746</v>
      </c>
      <c r="D17" s="119" t="s">
        <v>681</v>
      </c>
      <c r="E17" s="119" t="s">
        <v>966</v>
      </c>
      <c r="F17" s="117" t="s">
        <v>197</v>
      </c>
      <c r="G17" s="117" t="s">
        <v>1581</v>
      </c>
      <c r="H17" s="117" t="s">
        <v>1112</v>
      </c>
      <c r="I17" s="117"/>
      <c r="J17" s="117"/>
      <c r="K17" s="117"/>
      <c r="L17" s="117"/>
      <c r="M17" s="117"/>
      <c r="N17" s="117"/>
      <c r="O17" s="120" t="s">
        <v>1186</v>
      </c>
    </row>
    <row r="18" spans="1:15" s="21" customFormat="1" ht="15.75" customHeight="1">
      <c r="A18" s="114" t="s">
        <v>1747</v>
      </c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</row>
    <row r="19" spans="1:15" ht="78.95" customHeight="1" outlineLevel="1">
      <c r="A19" s="117" t="s">
        <v>1748</v>
      </c>
      <c r="B19" s="118" t="s">
        <v>1749</v>
      </c>
      <c r="C19" s="118" t="s">
        <v>1750</v>
      </c>
      <c r="D19" s="119" t="s">
        <v>681</v>
      </c>
      <c r="E19" s="119" t="s">
        <v>915</v>
      </c>
      <c r="F19" s="117" t="s">
        <v>197</v>
      </c>
      <c r="G19" s="117" t="s">
        <v>1581</v>
      </c>
      <c r="H19" s="117" t="s">
        <v>1112</v>
      </c>
      <c r="I19" s="117"/>
      <c r="J19" s="117"/>
      <c r="K19" s="117"/>
      <c r="L19" s="117"/>
      <c r="M19" s="117"/>
      <c r="N19" s="117"/>
      <c r="O19" s="120" t="s">
        <v>1186</v>
      </c>
    </row>
    <row r="20" spans="1:15" ht="15.75" customHeight="1">
      <c r="A20" s="114" t="s">
        <v>1751</v>
      </c>
      <c r="B20" s="114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6"/>
    </row>
    <row r="21" spans="1:15" ht="78.95" customHeight="1">
      <c r="A21" s="117" t="s">
        <v>1752</v>
      </c>
      <c r="B21" s="118" t="s">
        <v>1753</v>
      </c>
      <c r="C21" s="118" t="s">
        <v>1754</v>
      </c>
      <c r="D21" s="119" t="s">
        <v>681</v>
      </c>
      <c r="E21" s="119" t="s">
        <v>966</v>
      </c>
      <c r="F21" s="117" t="s">
        <v>197</v>
      </c>
      <c r="G21" s="117" t="s">
        <v>1581</v>
      </c>
      <c r="H21" s="117" t="s">
        <v>1112</v>
      </c>
      <c r="I21" s="117"/>
      <c r="J21" s="117"/>
      <c r="K21" s="117"/>
      <c r="L21" s="117"/>
      <c r="M21" s="117"/>
      <c r="N21" s="117"/>
      <c r="O21" s="120" t="s">
        <v>1186</v>
      </c>
    </row>
    <row r="22" spans="1:15" ht="15.75" customHeight="1">
      <c r="A22" s="114" t="s">
        <v>1755</v>
      </c>
      <c r="B22" s="114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6"/>
    </row>
    <row r="23" spans="1:15" ht="93.95" customHeight="1">
      <c r="A23" s="117" t="s">
        <v>1756</v>
      </c>
      <c r="B23" s="118" t="s">
        <v>1757</v>
      </c>
      <c r="C23" s="118" t="s">
        <v>1758</v>
      </c>
      <c r="D23" s="119" t="s">
        <v>282</v>
      </c>
      <c r="E23" s="119" t="s">
        <v>966</v>
      </c>
      <c r="F23" s="117" t="s">
        <v>197</v>
      </c>
      <c r="G23" s="117" t="s">
        <v>1581</v>
      </c>
      <c r="H23" s="117" t="s">
        <v>1112</v>
      </c>
      <c r="I23" s="117"/>
      <c r="J23" s="117"/>
      <c r="K23" s="117"/>
      <c r="L23" s="117"/>
      <c r="M23" s="117"/>
      <c r="N23" s="117"/>
      <c r="O23" s="120" t="s">
        <v>1186</v>
      </c>
    </row>
    <row r="24" spans="1:15" ht="123.95" customHeight="1">
      <c r="A24" s="117" t="s">
        <v>1759</v>
      </c>
      <c r="B24" s="118" t="s">
        <v>1760</v>
      </c>
      <c r="C24" s="118" t="s">
        <v>1761</v>
      </c>
      <c r="D24" s="119" t="s">
        <v>242</v>
      </c>
      <c r="E24" s="119" t="s">
        <v>966</v>
      </c>
      <c r="F24" s="117" t="s">
        <v>197</v>
      </c>
      <c r="G24" s="117" t="s">
        <v>1581</v>
      </c>
      <c r="H24" s="117" t="s">
        <v>1112</v>
      </c>
      <c r="I24" s="117"/>
      <c r="J24" s="117"/>
      <c r="K24" s="117"/>
      <c r="L24" s="117"/>
      <c r="M24" s="117"/>
      <c r="N24" s="117"/>
      <c r="O24" s="120" t="s">
        <v>1186</v>
      </c>
    </row>
    <row r="25" spans="1:15" ht="15.75" customHeight="1">
      <c r="A25" s="114" t="s">
        <v>1762</v>
      </c>
      <c r="B25" s="114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6"/>
    </row>
    <row r="26" spans="1:15" ht="93.95" customHeight="1">
      <c r="A26" s="117" t="s">
        <v>1763</v>
      </c>
      <c r="B26" s="118" t="s">
        <v>1764</v>
      </c>
      <c r="C26" s="118" t="s">
        <v>1765</v>
      </c>
      <c r="D26" s="119" t="s">
        <v>681</v>
      </c>
      <c r="E26" s="119" t="s">
        <v>966</v>
      </c>
      <c r="F26" s="117" t="s">
        <v>197</v>
      </c>
      <c r="G26" s="117" t="s">
        <v>1581</v>
      </c>
      <c r="H26" s="117" t="s">
        <v>1112</v>
      </c>
      <c r="I26" s="117"/>
      <c r="J26" s="117"/>
      <c r="K26" s="117"/>
      <c r="L26" s="117"/>
      <c r="M26" s="117"/>
      <c r="N26" s="117"/>
      <c r="O26" s="120" t="s">
        <v>1186</v>
      </c>
    </row>
    <row r="27" spans="1:15" ht="15.75" customHeight="1">
      <c r="A27" s="114" t="s">
        <v>1140</v>
      </c>
      <c r="B27" s="114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6"/>
    </row>
    <row r="28" spans="1:15" ht="93.95" customHeight="1">
      <c r="A28" s="117" t="s">
        <v>1766</v>
      </c>
      <c r="B28" s="118" t="s">
        <v>1142</v>
      </c>
      <c r="C28" s="118" t="s">
        <v>1767</v>
      </c>
      <c r="D28" s="119" t="s">
        <v>238</v>
      </c>
      <c r="E28" s="119" t="s">
        <v>966</v>
      </c>
      <c r="F28" s="117" t="s">
        <v>197</v>
      </c>
      <c r="G28" s="117" t="s">
        <v>1581</v>
      </c>
      <c r="H28" s="117" t="s">
        <v>1112</v>
      </c>
      <c r="I28" s="117"/>
      <c r="J28" s="117"/>
      <c r="K28" s="117"/>
      <c r="L28" s="117"/>
      <c r="M28" s="117"/>
      <c r="N28" s="117"/>
      <c r="O28" s="120" t="s">
        <v>1186</v>
      </c>
    </row>
    <row r="29" spans="1:15" ht="123.95" customHeight="1">
      <c r="A29" s="117" t="s">
        <v>1768</v>
      </c>
      <c r="B29" s="118" t="s">
        <v>1146</v>
      </c>
      <c r="C29" s="118" t="s">
        <v>1769</v>
      </c>
      <c r="D29" s="119" t="s">
        <v>242</v>
      </c>
      <c r="E29" s="119" t="s">
        <v>966</v>
      </c>
      <c r="F29" s="117" t="s">
        <v>197</v>
      </c>
      <c r="G29" s="117" t="s">
        <v>1581</v>
      </c>
      <c r="H29" s="117" t="s">
        <v>1112</v>
      </c>
      <c r="I29" s="117"/>
      <c r="J29" s="117"/>
      <c r="K29" s="117"/>
      <c r="L29" s="117"/>
      <c r="M29" s="117"/>
      <c r="N29" s="117"/>
      <c r="O29" s="120" t="s">
        <v>1186</v>
      </c>
    </row>
    <row r="30" spans="1:15" ht="15.75" customHeight="1">
      <c r="A30" s="114" t="s">
        <v>1770</v>
      </c>
      <c r="B30" s="114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6"/>
    </row>
    <row r="31" spans="1:15" ht="93.95" customHeight="1">
      <c r="A31" s="117" t="s">
        <v>1771</v>
      </c>
      <c r="B31" s="118" t="s">
        <v>1772</v>
      </c>
      <c r="C31" s="118" t="s">
        <v>1773</v>
      </c>
      <c r="D31" s="119" t="s">
        <v>681</v>
      </c>
      <c r="E31" s="119" t="s">
        <v>966</v>
      </c>
      <c r="F31" s="117" t="s">
        <v>197</v>
      </c>
      <c r="G31" s="117" t="s">
        <v>1581</v>
      </c>
      <c r="H31" s="117" t="s">
        <v>1112</v>
      </c>
      <c r="I31" s="117"/>
      <c r="J31" s="117"/>
      <c r="K31" s="117"/>
      <c r="L31" s="117"/>
      <c r="M31" s="117"/>
      <c r="N31" s="117"/>
      <c r="O31" s="120" t="s">
        <v>1186</v>
      </c>
    </row>
    <row r="32" spans="1:15" ht="15.75" customHeight="1">
      <c r="A32" s="114" t="s">
        <v>1125</v>
      </c>
      <c r="B32" s="114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6"/>
    </row>
    <row r="33" spans="1:15" ht="93.95" customHeight="1">
      <c r="A33" s="117" t="s">
        <v>1774</v>
      </c>
      <c r="B33" s="118" t="s">
        <v>1127</v>
      </c>
      <c r="C33" s="118" t="s">
        <v>1775</v>
      </c>
      <c r="D33" s="119" t="s">
        <v>238</v>
      </c>
      <c r="E33" s="119" t="s">
        <v>915</v>
      </c>
      <c r="F33" s="117" t="s">
        <v>197</v>
      </c>
      <c r="G33" s="117" t="s">
        <v>1581</v>
      </c>
      <c r="H33" s="117" t="s">
        <v>1112</v>
      </c>
      <c r="I33" s="117"/>
      <c r="J33" s="117"/>
      <c r="K33" s="117"/>
      <c r="L33" s="117"/>
      <c r="M33" s="117"/>
      <c r="N33" s="117"/>
      <c r="O33" s="120" t="s">
        <v>1186</v>
      </c>
    </row>
    <row r="34" spans="1:15" ht="123.95" customHeight="1">
      <c r="A34" s="117" t="s">
        <v>1776</v>
      </c>
      <c r="B34" s="118" t="s">
        <v>1130</v>
      </c>
      <c r="C34" s="118" t="s">
        <v>1777</v>
      </c>
      <c r="D34" s="119" t="s">
        <v>242</v>
      </c>
      <c r="E34" s="119" t="s">
        <v>915</v>
      </c>
      <c r="F34" s="117" t="s">
        <v>197</v>
      </c>
      <c r="G34" s="117" t="s">
        <v>1581</v>
      </c>
      <c r="H34" s="117" t="s">
        <v>1112</v>
      </c>
      <c r="I34" s="117"/>
      <c r="J34" s="117"/>
      <c r="K34" s="117"/>
      <c r="L34" s="117"/>
      <c r="M34" s="117"/>
      <c r="N34" s="117"/>
      <c r="O34" s="120" t="s">
        <v>1186</v>
      </c>
    </row>
    <row r="35" spans="1:15" ht="15.75" customHeight="1">
      <c r="A35" s="114" t="s">
        <v>293</v>
      </c>
      <c r="B35" s="114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6"/>
    </row>
    <row r="36" spans="1:15" ht="78.95" customHeight="1">
      <c r="A36" s="117" t="s">
        <v>1778</v>
      </c>
      <c r="B36" s="118" t="s">
        <v>803</v>
      </c>
      <c r="C36" s="118" t="s">
        <v>1779</v>
      </c>
      <c r="D36" s="119" t="s">
        <v>805</v>
      </c>
      <c r="E36" s="119" t="s">
        <v>806</v>
      </c>
      <c r="F36" s="117" t="s">
        <v>197</v>
      </c>
      <c r="G36" s="117" t="s">
        <v>1581</v>
      </c>
      <c r="H36" s="117" t="s">
        <v>1112</v>
      </c>
      <c r="I36" s="117"/>
      <c r="J36" s="117"/>
      <c r="K36" s="117"/>
      <c r="L36" s="117"/>
      <c r="M36" s="117"/>
      <c r="N36" s="117"/>
      <c r="O36" s="120" t="s">
        <v>1186</v>
      </c>
    </row>
    <row r="37" spans="1:15" ht="108.95" customHeight="1">
      <c r="A37" s="117" t="s">
        <v>1780</v>
      </c>
      <c r="B37" s="118" t="s">
        <v>808</v>
      </c>
      <c r="C37" s="118" t="s">
        <v>1781</v>
      </c>
      <c r="D37" s="119" t="s">
        <v>810</v>
      </c>
      <c r="E37" s="119" t="s">
        <v>811</v>
      </c>
      <c r="F37" s="117" t="s">
        <v>197</v>
      </c>
      <c r="G37" s="117" t="s">
        <v>1581</v>
      </c>
      <c r="H37" s="117" t="s">
        <v>1112</v>
      </c>
      <c r="I37" s="117"/>
      <c r="J37" s="117"/>
      <c r="K37" s="117"/>
      <c r="L37" s="117"/>
      <c r="M37" s="117"/>
      <c r="N37" s="117"/>
      <c r="O37" s="120" t="s">
        <v>1186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2A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R28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153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155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11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11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1603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1782</v>
      </c>
      <c r="B12" s="118" t="s">
        <v>1605</v>
      </c>
      <c r="C12" s="118" t="s">
        <v>1606</v>
      </c>
      <c r="D12" s="119" t="s">
        <v>681</v>
      </c>
      <c r="E12" s="119" t="s">
        <v>670</v>
      </c>
      <c r="F12" s="117" t="s">
        <v>197</v>
      </c>
      <c r="G12" s="117" t="s">
        <v>1086</v>
      </c>
      <c r="H12" s="117" t="s">
        <v>1112</v>
      </c>
      <c r="I12" s="117"/>
      <c r="J12" s="117"/>
      <c r="K12" s="117"/>
      <c r="L12" s="117"/>
      <c r="M12" s="117"/>
      <c r="N12" s="117"/>
      <c r="O12" s="120" t="s">
        <v>1783</v>
      </c>
    </row>
    <row r="13" spans="1:18" ht="15.75" customHeight="1" outlineLevel="1">
      <c r="A13" s="114" t="s">
        <v>1618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78.95" customHeight="1" outlineLevel="1">
      <c r="A14" s="117" t="s">
        <v>1784</v>
      </c>
      <c r="B14" s="118" t="s">
        <v>1620</v>
      </c>
      <c r="C14" s="118" t="s">
        <v>1621</v>
      </c>
      <c r="D14" s="119" t="s">
        <v>681</v>
      </c>
      <c r="E14" s="119" t="s">
        <v>686</v>
      </c>
      <c r="F14" s="117" t="s">
        <v>197</v>
      </c>
      <c r="G14" s="117" t="s">
        <v>1086</v>
      </c>
      <c r="H14" s="117" t="s">
        <v>1112</v>
      </c>
      <c r="I14" s="117"/>
      <c r="J14" s="117"/>
      <c r="K14" s="117"/>
      <c r="L14" s="117"/>
      <c r="M14" s="117"/>
      <c r="N14" s="117"/>
      <c r="O14" s="120" t="s">
        <v>1783</v>
      </c>
    </row>
    <row r="15" spans="1:18" s="21" customFormat="1" ht="15.75" customHeight="1">
      <c r="A15" s="114" t="s">
        <v>1785</v>
      </c>
      <c r="B15" s="114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6"/>
    </row>
    <row r="16" spans="1:18" ht="78.95" customHeight="1" outlineLevel="1">
      <c r="A16" s="117" t="s">
        <v>1786</v>
      </c>
      <c r="B16" s="118" t="s">
        <v>1787</v>
      </c>
      <c r="C16" s="118" t="s">
        <v>1788</v>
      </c>
      <c r="D16" s="119" t="s">
        <v>681</v>
      </c>
      <c r="E16" s="119" t="s">
        <v>686</v>
      </c>
      <c r="F16" s="117" t="s">
        <v>197</v>
      </c>
      <c r="G16" s="117" t="s">
        <v>1086</v>
      </c>
      <c r="H16" s="117" t="s">
        <v>1112</v>
      </c>
      <c r="I16" s="117"/>
      <c r="J16" s="117"/>
      <c r="K16" s="117"/>
      <c r="L16" s="117"/>
      <c r="M16" s="117"/>
      <c r="N16" s="117"/>
      <c r="O16" s="120" t="s">
        <v>1783</v>
      </c>
    </row>
    <row r="17" spans="1:15" ht="15.75" customHeight="1" outlineLevel="1">
      <c r="A17" s="114" t="s">
        <v>1789</v>
      </c>
      <c r="B17" s="114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6"/>
    </row>
    <row r="18" spans="1:15" s="21" customFormat="1" ht="93.95" customHeight="1">
      <c r="A18" s="117" t="s">
        <v>1790</v>
      </c>
      <c r="B18" s="118" t="s">
        <v>1791</v>
      </c>
      <c r="C18" s="118" t="s">
        <v>1792</v>
      </c>
      <c r="D18" s="119" t="s">
        <v>238</v>
      </c>
      <c r="E18" s="119" t="s">
        <v>686</v>
      </c>
      <c r="F18" s="117" t="s">
        <v>197</v>
      </c>
      <c r="G18" s="117" t="s">
        <v>1086</v>
      </c>
      <c r="H18" s="117" t="s">
        <v>1112</v>
      </c>
      <c r="I18" s="117"/>
      <c r="J18" s="117"/>
      <c r="K18" s="117"/>
      <c r="L18" s="117"/>
      <c r="M18" s="117"/>
      <c r="N18" s="117"/>
      <c r="O18" s="120" t="s">
        <v>1783</v>
      </c>
    </row>
    <row r="19" spans="1:15" ht="123.95" customHeight="1" outlineLevel="1">
      <c r="A19" s="117" t="s">
        <v>1793</v>
      </c>
      <c r="B19" s="118" t="s">
        <v>1794</v>
      </c>
      <c r="C19" s="118" t="s">
        <v>1795</v>
      </c>
      <c r="D19" s="119" t="s">
        <v>242</v>
      </c>
      <c r="E19" s="119" t="s">
        <v>686</v>
      </c>
      <c r="F19" s="117" t="s">
        <v>197</v>
      </c>
      <c r="G19" s="117" t="s">
        <v>1086</v>
      </c>
      <c r="H19" s="117" t="s">
        <v>1112</v>
      </c>
      <c r="I19" s="117"/>
      <c r="J19" s="117"/>
      <c r="K19" s="117"/>
      <c r="L19" s="117"/>
      <c r="M19" s="117"/>
      <c r="N19" s="117"/>
      <c r="O19" s="120" t="s">
        <v>1783</v>
      </c>
    </row>
    <row r="20" spans="1:15" ht="15.75" customHeight="1">
      <c r="A20" s="114" t="s">
        <v>1796</v>
      </c>
      <c r="B20" s="114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6"/>
    </row>
    <row r="21" spans="1:15" ht="93.95" customHeight="1">
      <c r="A21" s="117" t="s">
        <v>1797</v>
      </c>
      <c r="B21" s="118" t="s">
        <v>1798</v>
      </c>
      <c r="C21" s="118" t="s">
        <v>1799</v>
      </c>
      <c r="D21" s="119" t="s">
        <v>282</v>
      </c>
      <c r="E21" s="119" t="s">
        <v>686</v>
      </c>
      <c r="F21" s="117" t="s">
        <v>197</v>
      </c>
      <c r="G21" s="117" t="s">
        <v>1086</v>
      </c>
      <c r="H21" s="117" t="s">
        <v>1112</v>
      </c>
      <c r="I21" s="117"/>
      <c r="J21" s="117"/>
      <c r="K21" s="117"/>
      <c r="L21" s="117"/>
      <c r="M21" s="117"/>
      <c r="N21" s="117"/>
      <c r="O21" s="120" t="s">
        <v>1783</v>
      </c>
    </row>
    <row r="22" spans="1:15" ht="138.94999999999999" customHeight="1">
      <c r="A22" s="117" t="s">
        <v>1800</v>
      </c>
      <c r="B22" s="118" t="s">
        <v>1801</v>
      </c>
      <c r="C22" s="118" t="s">
        <v>1802</v>
      </c>
      <c r="D22" s="119" t="s">
        <v>242</v>
      </c>
      <c r="E22" s="119" t="s">
        <v>686</v>
      </c>
      <c r="F22" s="117" t="s">
        <v>197</v>
      </c>
      <c r="G22" s="117" t="s">
        <v>1086</v>
      </c>
      <c r="H22" s="117" t="s">
        <v>1112</v>
      </c>
      <c r="I22" s="117"/>
      <c r="J22" s="117"/>
      <c r="K22" s="117"/>
      <c r="L22" s="117"/>
      <c r="M22" s="117"/>
      <c r="N22" s="117"/>
      <c r="O22" s="120" t="s">
        <v>1783</v>
      </c>
    </row>
    <row r="23" spans="1:15" ht="15.75" customHeight="1">
      <c r="A23" s="114" t="s">
        <v>1803</v>
      </c>
      <c r="B23" s="114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6"/>
    </row>
    <row r="24" spans="1:15" ht="93.95" customHeight="1">
      <c r="A24" s="117" t="s">
        <v>1804</v>
      </c>
      <c r="B24" s="118" t="s">
        <v>1805</v>
      </c>
      <c r="C24" s="118" t="s">
        <v>1806</v>
      </c>
      <c r="D24" s="119" t="s">
        <v>247</v>
      </c>
      <c r="E24" s="119" t="s">
        <v>686</v>
      </c>
      <c r="F24" s="117" t="s">
        <v>197</v>
      </c>
      <c r="G24" s="117" t="s">
        <v>1086</v>
      </c>
      <c r="H24" s="117" t="s">
        <v>1112</v>
      </c>
      <c r="I24" s="117"/>
      <c r="J24" s="117"/>
      <c r="K24" s="117"/>
      <c r="L24" s="117"/>
      <c r="M24" s="117"/>
      <c r="N24" s="117"/>
      <c r="O24" s="120" t="s">
        <v>1783</v>
      </c>
    </row>
    <row r="25" spans="1:15" ht="138.94999999999999" customHeight="1">
      <c r="A25" s="117" t="s">
        <v>1807</v>
      </c>
      <c r="B25" s="118" t="s">
        <v>1808</v>
      </c>
      <c r="C25" s="118" t="s">
        <v>1809</v>
      </c>
      <c r="D25" s="119" t="s">
        <v>242</v>
      </c>
      <c r="E25" s="119" t="s">
        <v>686</v>
      </c>
      <c r="F25" s="117" t="s">
        <v>197</v>
      </c>
      <c r="G25" s="117" t="s">
        <v>1086</v>
      </c>
      <c r="H25" s="117" t="s">
        <v>1112</v>
      </c>
      <c r="I25" s="117"/>
      <c r="J25" s="117"/>
      <c r="K25" s="117"/>
      <c r="L25" s="117"/>
      <c r="M25" s="117"/>
      <c r="N25" s="117"/>
      <c r="O25" s="120" t="s">
        <v>1783</v>
      </c>
    </row>
    <row r="26" spans="1:15" ht="15.75" customHeight="1">
      <c r="A26" s="114" t="s">
        <v>293</v>
      </c>
      <c r="B26" s="114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</row>
    <row r="27" spans="1:15" ht="78.95" customHeight="1">
      <c r="A27" s="117" t="s">
        <v>1810</v>
      </c>
      <c r="B27" s="118" t="s">
        <v>803</v>
      </c>
      <c r="C27" s="118" t="s">
        <v>1653</v>
      </c>
      <c r="D27" s="119" t="s">
        <v>805</v>
      </c>
      <c r="E27" s="119" t="s">
        <v>806</v>
      </c>
      <c r="F27" s="117" t="s">
        <v>197</v>
      </c>
      <c r="G27" s="117" t="s">
        <v>1086</v>
      </c>
      <c r="H27" s="117" t="s">
        <v>1112</v>
      </c>
      <c r="I27" s="117"/>
      <c r="J27" s="117"/>
      <c r="K27" s="117"/>
      <c r="L27" s="117"/>
      <c r="M27" s="117"/>
      <c r="N27" s="117"/>
      <c r="O27" s="120" t="s">
        <v>1783</v>
      </c>
    </row>
    <row r="28" spans="1:15" ht="93.95" customHeight="1">
      <c r="A28" s="117" t="s">
        <v>1811</v>
      </c>
      <c r="B28" s="118" t="s">
        <v>808</v>
      </c>
      <c r="C28" s="118" t="s">
        <v>1655</v>
      </c>
      <c r="D28" s="119" t="s">
        <v>810</v>
      </c>
      <c r="E28" s="119" t="s">
        <v>811</v>
      </c>
      <c r="F28" s="117" t="s">
        <v>197</v>
      </c>
      <c r="G28" s="117" t="s">
        <v>1086</v>
      </c>
      <c r="H28" s="117" t="s">
        <v>1112</v>
      </c>
      <c r="I28" s="117"/>
      <c r="J28" s="117"/>
      <c r="K28" s="117"/>
      <c r="L28" s="117"/>
      <c r="M28" s="117"/>
      <c r="N28" s="117"/>
      <c r="O28" s="120" t="s">
        <v>1783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2B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156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158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6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0</v>
      </c>
      <c r="C6" s="60">
        <f>COUNTIF($F$11:$F$2000,C$5)</f>
        <v>0</v>
      </c>
      <c r="D6" s="60">
        <f>COUNTIF($F$11:$F$2000,D$5)</f>
        <v>6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1812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1813</v>
      </c>
      <c r="B12" s="118" t="s">
        <v>1814</v>
      </c>
      <c r="C12" s="118" t="s">
        <v>1815</v>
      </c>
      <c r="D12" s="119" t="s">
        <v>238</v>
      </c>
      <c r="E12" s="119" t="s">
        <v>1209</v>
      </c>
      <c r="F12" s="117" t="s">
        <v>199</v>
      </c>
      <c r="G12" s="117"/>
      <c r="H12" s="117" t="s">
        <v>672</v>
      </c>
      <c r="I12" s="117"/>
      <c r="J12" s="117"/>
      <c r="K12" s="117"/>
      <c r="L12" s="117"/>
      <c r="M12" s="117"/>
      <c r="N12" s="117"/>
      <c r="O12" s="120" t="s">
        <v>816</v>
      </c>
    </row>
    <row r="13" spans="1:18" ht="123.95" customHeight="1" outlineLevel="1">
      <c r="A13" s="117" t="s">
        <v>1816</v>
      </c>
      <c r="B13" s="118" t="s">
        <v>1817</v>
      </c>
      <c r="C13" s="118" t="s">
        <v>1818</v>
      </c>
      <c r="D13" s="119" t="s">
        <v>242</v>
      </c>
      <c r="E13" s="119" t="s">
        <v>1209</v>
      </c>
      <c r="F13" s="117" t="s">
        <v>199</v>
      </c>
      <c r="G13" s="117"/>
      <c r="H13" s="117" t="s">
        <v>672</v>
      </c>
      <c r="I13" s="117"/>
      <c r="J13" s="117"/>
      <c r="K13" s="117"/>
      <c r="L13" s="117"/>
      <c r="M13" s="117"/>
      <c r="N13" s="117"/>
      <c r="O13" s="120" t="s">
        <v>816</v>
      </c>
    </row>
    <row r="14" spans="1:18" ht="15.75" customHeight="1" outlineLevel="1">
      <c r="A14" s="114" t="s">
        <v>1819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93.95" customHeight="1">
      <c r="A15" s="117" t="s">
        <v>1820</v>
      </c>
      <c r="B15" s="118" t="s">
        <v>1821</v>
      </c>
      <c r="C15" s="118" t="s">
        <v>1822</v>
      </c>
      <c r="D15" s="119" t="s">
        <v>238</v>
      </c>
      <c r="E15" s="119" t="s">
        <v>830</v>
      </c>
      <c r="F15" s="117" t="s">
        <v>199</v>
      </c>
      <c r="G15" s="117"/>
      <c r="H15" s="117" t="s">
        <v>672</v>
      </c>
      <c r="I15" s="117"/>
      <c r="J15" s="117"/>
      <c r="K15" s="117"/>
      <c r="L15" s="117"/>
      <c r="M15" s="117"/>
      <c r="N15" s="117"/>
      <c r="O15" s="120" t="s">
        <v>816</v>
      </c>
    </row>
    <row r="16" spans="1:18" ht="138.94999999999999" customHeight="1" outlineLevel="1">
      <c r="A16" s="117" t="s">
        <v>1823</v>
      </c>
      <c r="B16" s="118" t="s">
        <v>1824</v>
      </c>
      <c r="C16" s="118" t="s">
        <v>1825</v>
      </c>
      <c r="D16" s="119" t="s">
        <v>242</v>
      </c>
      <c r="E16" s="119" t="s">
        <v>830</v>
      </c>
      <c r="F16" s="117" t="s">
        <v>199</v>
      </c>
      <c r="G16" s="117"/>
      <c r="H16" s="117" t="s">
        <v>672</v>
      </c>
      <c r="I16" s="117"/>
      <c r="J16" s="117"/>
      <c r="K16" s="117"/>
      <c r="L16" s="117"/>
      <c r="M16" s="117"/>
      <c r="N16" s="117"/>
      <c r="O16" s="120" t="s">
        <v>816</v>
      </c>
    </row>
    <row r="17" spans="1:15" ht="15.75" customHeight="1" outlineLevel="1">
      <c r="A17" s="114" t="s">
        <v>293</v>
      </c>
      <c r="B17" s="114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6"/>
    </row>
    <row r="18" spans="1:15" s="21" customFormat="1" ht="78.95" customHeight="1">
      <c r="A18" s="117" t="s">
        <v>1826</v>
      </c>
      <c r="B18" s="118" t="s">
        <v>803</v>
      </c>
      <c r="C18" s="118" t="s">
        <v>1827</v>
      </c>
      <c r="D18" s="119" t="s">
        <v>805</v>
      </c>
      <c r="E18" s="119" t="s">
        <v>806</v>
      </c>
      <c r="F18" s="117" t="s">
        <v>199</v>
      </c>
      <c r="G18" s="117"/>
      <c r="H18" s="117" t="s">
        <v>672</v>
      </c>
      <c r="I18" s="117"/>
      <c r="J18" s="117"/>
      <c r="K18" s="117"/>
      <c r="L18" s="117"/>
      <c r="M18" s="117"/>
      <c r="N18" s="117"/>
      <c r="O18" s="120" t="s">
        <v>534</v>
      </c>
    </row>
    <row r="19" spans="1:15" ht="108.95" customHeight="1" outlineLevel="1">
      <c r="A19" s="117" t="s">
        <v>1828</v>
      </c>
      <c r="B19" s="118" t="s">
        <v>808</v>
      </c>
      <c r="C19" s="118" t="s">
        <v>1829</v>
      </c>
      <c r="D19" s="119" t="s">
        <v>810</v>
      </c>
      <c r="E19" s="119" t="s">
        <v>811</v>
      </c>
      <c r="F19" s="117" t="s">
        <v>199</v>
      </c>
      <c r="G19" s="117"/>
      <c r="H19" s="117" t="s">
        <v>672</v>
      </c>
      <c r="I19" s="117"/>
      <c r="J19" s="117"/>
      <c r="K19" s="117"/>
      <c r="L19" s="117"/>
      <c r="M19" s="117"/>
      <c r="N19" s="117"/>
      <c r="O19" s="120" t="s">
        <v>534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2C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159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161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5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0</v>
      </c>
      <c r="C6" s="60">
        <f>COUNTIF($F$11:$F$2000,C$5)</f>
        <v>0</v>
      </c>
      <c r="D6" s="60">
        <f>COUNTIF($F$11:$F$2000,D$5)</f>
        <v>5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1830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1831</v>
      </c>
      <c r="B12" s="118" t="s">
        <v>1832</v>
      </c>
      <c r="C12" s="118" t="s">
        <v>1833</v>
      </c>
      <c r="D12" s="119" t="s">
        <v>238</v>
      </c>
      <c r="E12" s="119" t="s">
        <v>830</v>
      </c>
      <c r="F12" s="117" t="s">
        <v>199</v>
      </c>
      <c r="G12" s="117"/>
      <c r="H12" s="117" t="s">
        <v>672</v>
      </c>
      <c r="I12" s="117"/>
      <c r="J12" s="117"/>
      <c r="K12" s="117"/>
      <c r="L12" s="117"/>
      <c r="M12" s="117"/>
      <c r="N12" s="117"/>
      <c r="O12" s="120" t="s">
        <v>816</v>
      </c>
    </row>
    <row r="13" spans="1:18" ht="138.94999999999999" customHeight="1" outlineLevel="1">
      <c r="A13" s="117" t="s">
        <v>1834</v>
      </c>
      <c r="B13" s="118" t="s">
        <v>1835</v>
      </c>
      <c r="C13" s="118" t="s">
        <v>1836</v>
      </c>
      <c r="D13" s="119" t="s">
        <v>242</v>
      </c>
      <c r="E13" s="119" t="s">
        <v>830</v>
      </c>
      <c r="F13" s="117" t="s">
        <v>199</v>
      </c>
      <c r="G13" s="117"/>
      <c r="H13" s="117" t="s">
        <v>672</v>
      </c>
      <c r="I13" s="117"/>
      <c r="J13" s="117"/>
      <c r="K13" s="117"/>
      <c r="L13" s="117"/>
      <c r="M13" s="117"/>
      <c r="N13" s="117"/>
      <c r="O13" s="120" t="s">
        <v>816</v>
      </c>
    </row>
    <row r="14" spans="1:18" ht="15.75" customHeight="1" outlineLevel="1">
      <c r="A14" s="114" t="s">
        <v>1837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93.95" customHeight="1">
      <c r="A15" s="117" t="s">
        <v>1838</v>
      </c>
      <c r="B15" s="118" t="s">
        <v>1839</v>
      </c>
      <c r="C15" s="118" t="s">
        <v>1840</v>
      </c>
      <c r="D15" s="119" t="s">
        <v>681</v>
      </c>
      <c r="E15" s="119" t="s">
        <v>830</v>
      </c>
      <c r="F15" s="117" t="s">
        <v>199</v>
      </c>
      <c r="G15" s="117"/>
      <c r="H15" s="117" t="s">
        <v>672</v>
      </c>
      <c r="I15" s="117"/>
      <c r="J15" s="117"/>
      <c r="K15" s="117"/>
      <c r="L15" s="117"/>
      <c r="M15" s="117"/>
      <c r="N15" s="117"/>
      <c r="O15" s="120" t="s">
        <v>816</v>
      </c>
    </row>
    <row r="16" spans="1:18" ht="15.75" customHeight="1" outlineLevel="1">
      <c r="A16" s="114" t="s">
        <v>293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93.95" customHeight="1" outlineLevel="1">
      <c r="A17" s="117" t="s">
        <v>1841</v>
      </c>
      <c r="B17" s="118" t="s">
        <v>803</v>
      </c>
      <c r="C17" s="118" t="s">
        <v>1842</v>
      </c>
      <c r="D17" s="119" t="s">
        <v>805</v>
      </c>
      <c r="E17" s="119" t="s">
        <v>806</v>
      </c>
      <c r="F17" s="117" t="s">
        <v>199</v>
      </c>
      <c r="G17" s="117"/>
      <c r="H17" s="117" t="s">
        <v>672</v>
      </c>
      <c r="I17" s="117"/>
      <c r="J17" s="117"/>
      <c r="K17" s="117"/>
      <c r="L17" s="117"/>
      <c r="M17" s="117"/>
      <c r="N17" s="117"/>
      <c r="O17" s="120" t="s">
        <v>534</v>
      </c>
    </row>
    <row r="18" spans="1:15" s="21" customFormat="1" ht="108.95" customHeight="1">
      <c r="A18" s="117" t="s">
        <v>1843</v>
      </c>
      <c r="B18" s="118" t="s">
        <v>808</v>
      </c>
      <c r="C18" s="118" t="s">
        <v>1844</v>
      </c>
      <c r="D18" s="119" t="s">
        <v>810</v>
      </c>
      <c r="E18" s="119" t="s">
        <v>811</v>
      </c>
      <c r="F18" s="117" t="s">
        <v>199</v>
      </c>
      <c r="G18" s="117"/>
      <c r="H18" s="117" t="s">
        <v>672</v>
      </c>
      <c r="I18" s="117"/>
      <c r="J18" s="117"/>
      <c r="K18" s="117"/>
      <c r="L18" s="117"/>
      <c r="M18" s="117"/>
      <c r="N18" s="117"/>
      <c r="O18" s="120" t="s">
        <v>534</v>
      </c>
    </row>
    <row r="19" spans="1:15" ht="14.1" customHeight="1" outlineLevel="1"/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2D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R20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162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164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6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0</v>
      </c>
      <c r="C6" s="60">
        <f>COUNTIF($F$11:$F$2000,C$5)</f>
        <v>0</v>
      </c>
      <c r="D6" s="60">
        <f>COUNTIF($F$11:$F$2000,D$5)</f>
        <v>6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1845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1846</v>
      </c>
      <c r="B12" s="118" t="s">
        <v>1847</v>
      </c>
      <c r="C12" s="118" t="s">
        <v>1848</v>
      </c>
      <c r="D12" s="119" t="s">
        <v>681</v>
      </c>
      <c r="E12" s="119" t="s">
        <v>1209</v>
      </c>
      <c r="F12" s="117" t="s">
        <v>199</v>
      </c>
      <c r="G12" s="117"/>
      <c r="H12" s="117" t="s">
        <v>672</v>
      </c>
      <c r="I12" s="117"/>
      <c r="J12" s="117"/>
      <c r="K12" s="117"/>
      <c r="L12" s="117"/>
      <c r="M12" s="117"/>
      <c r="N12" s="117"/>
      <c r="O12" s="120" t="s">
        <v>816</v>
      </c>
    </row>
    <row r="13" spans="1:18" ht="15.75" customHeight="1" outlineLevel="1">
      <c r="A13" s="114" t="s">
        <v>1849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78.95" customHeight="1" outlineLevel="1">
      <c r="A14" s="117" t="s">
        <v>1850</v>
      </c>
      <c r="B14" s="118" t="s">
        <v>1851</v>
      </c>
      <c r="C14" s="118" t="s">
        <v>1852</v>
      </c>
      <c r="D14" s="119" t="s">
        <v>681</v>
      </c>
      <c r="E14" s="119" t="s">
        <v>830</v>
      </c>
      <c r="F14" s="117" t="s">
        <v>199</v>
      </c>
      <c r="G14" s="117"/>
      <c r="H14" s="117" t="s">
        <v>672</v>
      </c>
      <c r="I14" s="117"/>
      <c r="J14" s="117"/>
      <c r="K14" s="117"/>
      <c r="L14" s="117"/>
      <c r="M14" s="117"/>
      <c r="N14" s="117"/>
      <c r="O14" s="120" t="s">
        <v>816</v>
      </c>
    </row>
    <row r="15" spans="1:18" s="21" customFormat="1" ht="15.75" customHeight="1">
      <c r="A15" s="114" t="s">
        <v>1853</v>
      </c>
      <c r="B15" s="114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6"/>
    </row>
    <row r="16" spans="1:18" ht="93.95" customHeight="1" outlineLevel="1">
      <c r="A16" s="117" t="s">
        <v>1854</v>
      </c>
      <c r="B16" s="118" t="s">
        <v>1855</v>
      </c>
      <c r="C16" s="118" t="s">
        <v>1856</v>
      </c>
      <c r="D16" s="119" t="s">
        <v>247</v>
      </c>
      <c r="E16" s="119" t="s">
        <v>830</v>
      </c>
      <c r="F16" s="117" t="s">
        <v>199</v>
      </c>
      <c r="G16" s="117"/>
      <c r="H16" s="117" t="s">
        <v>672</v>
      </c>
      <c r="I16" s="117"/>
      <c r="J16" s="117"/>
      <c r="K16" s="117"/>
      <c r="L16" s="117"/>
      <c r="M16" s="117"/>
      <c r="N16" s="117"/>
      <c r="O16" s="120" t="s">
        <v>816</v>
      </c>
    </row>
    <row r="17" spans="1:15" ht="123.95" customHeight="1" outlineLevel="1">
      <c r="A17" s="117" t="s">
        <v>1857</v>
      </c>
      <c r="B17" s="118" t="s">
        <v>1858</v>
      </c>
      <c r="C17" s="118" t="s">
        <v>1859</v>
      </c>
      <c r="D17" s="119" t="s">
        <v>242</v>
      </c>
      <c r="E17" s="119" t="s">
        <v>830</v>
      </c>
      <c r="F17" s="117" t="s">
        <v>199</v>
      </c>
      <c r="G17" s="117"/>
      <c r="H17" s="117" t="s">
        <v>672</v>
      </c>
      <c r="I17" s="117"/>
      <c r="J17" s="117"/>
      <c r="K17" s="117"/>
      <c r="L17" s="117"/>
      <c r="M17" s="117"/>
      <c r="N17" s="117"/>
      <c r="O17" s="120" t="s">
        <v>816</v>
      </c>
    </row>
    <row r="18" spans="1:15" s="21" customFormat="1" ht="15.75" customHeight="1">
      <c r="A18" s="114" t="s">
        <v>293</v>
      </c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</row>
    <row r="19" spans="1:15" ht="78.95" customHeight="1" outlineLevel="1">
      <c r="A19" s="117" t="s">
        <v>1860</v>
      </c>
      <c r="B19" s="118" t="s">
        <v>803</v>
      </c>
      <c r="C19" s="118" t="s">
        <v>1861</v>
      </c>
      <c r="D19" s="119" t="s">
        <v>805</v>
      </c>
      <c r="E19" s="119" t="s">
        <v>806</v>
      </c>
      <c r="F19" s="117" t="s">
        <v>199</v>
      </c>
      <c r="G19" s="117"/>
      <c r="H19" s="117" t="s">
        <v>672</v>
      </c>
      <c r="I19" s="117"/>
      <c r="J19" s="117"/>
      <c r="K19" s="117"/>
      <c r="L19" s="117"/>
      <c r="M19" s="117"/>
      <c r="N19" s="117"/>
      <c r="O19" s="120" t="s">
        <v>534</v>
      </c>
    </row>
    <row r="20" spans="1:15" ht="108.95" customHeight="1">
      <c r="A20" s="117" t="s">
        <v>1862</v>
      </c>
      <c r="B20" s="118" t="s">
        <v>808</v>
      </c>
      <c r="C20" s="118" t="s">
        <v>1863</v>
      </c>
      <c r="D20" s="119" t="s">
        <v>810</v>
      </c>
      <c r="E20" s="119" t="s">
        <v>811</v>
      </c>
      <c r="F20" s="117" t="s">
        <v>199</v>
      </c>
      <c r="G20" s="117"/>
      <c r="H20" s="117" t="s">
        <v>672</v>
      </c>
      <c r="I20" s="117"/>
      <c r="J20" s="117"/>
      <c r="K20" s="117"/>
      <c r="L20" s="117"/>
      <c r="M20" s="117"/>
      <c r="N20" s="117"/>
      <c r="O20" s="120" t="s">
        <v>534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2E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R30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165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167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12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12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1864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1865</v>
      </c>
      <c r="B12" s="118" t="s">
        <v>1866</v>
      </c>
      <c r="C12" s="118" t="s">
        <v>1867</v>
      </c>
      <c r="D12" s="119" t="s">
        <v>681</v>
      </c>
      <c r="E12" s="119" t="s">
        <v>686</v>
      </c>
      <c r="F12" s="117" t="s">
        <v>197</v>
      </c>
      <c r="G12" s="117" t="s">
        <v>671</v>
      </c>
      <c r="H12" s="117" t="s">
        <v>654</v>
      </c>
      <c r="I12" s="117"/>
      <c r="J12" s="117"/>
      <c r="K12" s="117"/>
      <c r="L12" s="117"/>
      <c r="M12" s="117"/>
      <c r="N12" s="117"/>
      <c r="O12" s="120" t="s">
        <v>1868</v>
      </c>
    </row>
    <row r="13" spans="1:18" ht="15.75" customHeight="1" outlineLevel="1">
      <c r="A13" s="114" t="s">
        <v>1869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93.95" customHeight="1" outlineLevel="1">
      <c r="A14" s="117" t="s">
        <v>1870</v>
      </c>
      <c r="B14" s="118" t="s">
        <v>1871</v>
      </c>
      <c r="C14" s="118" t="s">
        <v>1872</v>
      </c>
      <c r="D14" s="119" t="s">
        <v>238</v>
      </c>
      <c r="E14" s="119" t="s">
        <v>686</v>
      </c>
      <c r="F14" s="117" t="s">
        <v>197</v>
      </c>
      <c r="G14" s="117" t="s">
        <v>671</v>
      </c>
      <c r="H14" s="117" t="s">
        <v>654</v>
      </c>
      <c r="I14" s="117"/>
      <c r="J14" s="117"/>
      <c r="K14" s="117"/>
      <c r="L14" s="117"/>
      <c r="M14" s="117"/>
      <c r="N14" s="117"/>
      <c r="O14" s="120" t="s">
        <v>1868</v>
      </c>
    </row>
    <row r="15" spans="1:18" s="21" customFormat="1" ht="138.94999999999999" customHeight="1">
      <c r="A15" s="117" t="s">
        <v>1873</v>
      </c>
      <c r="B15" s="118" t="s">
        <v>1874</v>
      </c>
      <c r="C15" s="118" t="s">
        <v>1875</v>
      </c>
      <c r="D15" s="119" t="s">
        <v>242</v>
      </c>
      <c r="E15" s="119" t="s">
        <v>686</v>
      </c>
      <c r="F15" s="117" t="s">
        <v>197</v>
      </c>
      <c r="G15" s="117" t="s">
        <v>671</v>
      </c>
      <c r="H15" s="117" t="s">
        <v>654</v>
      </c>
      <c r="I15" s="117"/>
      <c r="J15" s="117"/>
      <c r="K15" s="117"/>
      <c r="L15" s="117"/>
      <c r="M15" s="117"/>
      <c r="N15" s="117"/>
      <c r="O15" s="120" t="s">
        <v>1868</v>
      </c>
    </row>
    <row r="16" spans="1:18" ht="15.75" customHeight="1" outlineLevel="1">
      <c r="A16" s="114" t="s">
        <v>1876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78.95" customHeight="1" outlineLevel="1">
      <c r="A17" s="117" t="s">
        <v>1877</v>
      </c>
      <c r="B17" s="118" t="s">
        <v>1878</v>
      </c>
      <c r="C17" s="118" t="s">
        <v>1879</v>
      </c>
      <c r="D17" s="119" t="s">
        <v>681</v>
      </c>
      <c r="E17" s="119" t="s">
        <v>670</v>
      </c>
      <c r="F17" s="117" t="s">
        <v>197</v>
      </c>
      <c r="G17" s="117" t="s">
        <v>671</v>
      </c>
      <c r="H17" s="117" t="s">
        <v>654</v>
      </c>
      <c r="I17" s="117"/>
      <c r="J17" s="117"/>
      <c r="K17" s="117"/>
      <c r="L17" s="117"/>
      <c r="M17" s="117"/>
      <c r="N17" s="117"/>
      <c r="O17" s="120" t="s">
        <v>1868</v>
      </c>
    </row>
    <row r="18" spans="1:15" s="21" customFormat="1" ht="15.75" customHeight="1">
      <c r="A18" s="114" t="s">
        <v>1880</v>
      </c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</row>
    <row r="19" spans="1:15" ht="93.95" customHeight="1" outlineLevel="1">
      <c r="A19" s="117" t="s">
        <v>1881</v>
      </c>
      <c r="B19" s="118" t="s">
        <v>1882</v>
      </c>
      <c r="C19" s="118" t="s">
        <v>1883</v>
      </c>
      <c r="D19" s="119" t="s">
        <v>260</v>
      </c>
      <c r="E19" s="119" t="s">
        <v>686</v>
      </c>
      <c r="F19" s="117" t="s">
        <v>197</v>
      </c>
      <c r="G19" s="117" t="s">
        <v>671</v>
      </c>
      <c r="H19" s="117" t="s">
        <v>654</v>
      </c>
      <c r="I19" s="117"/>
      <c r="J19" s="117"/>
      <c r="K19" s="117"/>
      <c r="L19" s="117"/>
      <c r="M19" s="117"/>
      <c r="N19" s="117"/>
      <c r="O19" s="120" t="s">
        <v>1868</v>
      </c>
    </row>
    <row r="20" spans="1:15" ht="123.95" customHeight="1">
      <c r="A20" s="117" t="s">
        <v>1884</v>
      </c>
      <c r="B20" s="118" t="s">
        <v>1885</v>
      </c>
      <c r="C20" s="118" t="s">
        <v>1886</v>
      </c>
      <c r="D20" s="119" t="s">
        <v>242</v>
      </c>
      <c r="E20" s="119" t="s">
        <v>686</v>
      </c>
      <c r="F20" s="117" t="s">
        <v>197</v>
      </c>
      <c r="G20" s="117" t="s">
        <v>671</v>
      </c>
      <c r="H20" s="117" t="s">
        <v>654</v>
      </c>
      <c r="I20" s="117"/>
      <c r="J20" s="117"/>
      <c r="K20" s="117"/>
      <c r="L20" s="117"/>
      <c r="M20" s="117"/>
      <c r="N20" s="117"/>
      <c r="O20" s="120" t="s">
        <v>1868</v>
      </c>
    </row>
    <row r="21" spans="1:15" ht="15.75" customHeight="1">
      <c r="A21" s="114" t="s">
        <v>1887</v>
      </c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6"/>
    </row>
    <row r="22" spans="1:15" ht="93.95" customHeight="1">
      <c r="A22" s="117" t="s">
        <v>1888</v>
      </c>
      <c r="B22" s="118" t="s">
        <v>1889</v>
      </c>
      <c r="C22" s="118" t="s">
        <v>1890</v>
      </c>
      <c r="D22" s="119" t="s">
        <v>681</v>
      </c>
      <c r="E22" s="119" t="s">
        <v>686</v>
      </c>
      <c r="F22" s="117" t="s">
        <v>197</v>
      </c>
      <c r="G22" s="117" t="s">
        <v>671</v>
      </c>
      <c r="H22" s="117" t="s">
        <v>654</v>
      </c>
      <c r="I22" s="117"/>
      <c r="J22" s="117"/>
      <c r="K22" s="117"/>
      <c r="L22" s="117"/>
      <c r="M22" s="117"/>
      <c r="N22" s="117"/>
      <c r="O22" s="120" t="s">
        <v>1868</v>
      </c>
    </row>
    <row r="23" spans="1:15" ht="15.75" customHeight="1">
      <c r="A23" s="114" t="s">
        <v>1891</v>
      </c>
      <c r="B23" s="114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6"/>
    </row>
    <row r="24" spans="1:15" ht="93.95" customHeight="1">
      <c r="A24" s="117" t="s">
        <v>1892</v>
      </c>
      <c r="B24" s="118" t="s">
        <v>1893</v>
      </c>
      <c r="C24" s="118" t="s">
        <v>1894</v>
      </c>
      <c r="D24" s="119" t="s">
        <v>260</v>
      </c>
      <c r="E24" s="119" t="s">
        <v>686</v>
      </c>
      <c r="F24" s="117" t="s">
        <v>197</v>
      </c>
      <c r="G24" s="117" t="s">
        <v>671</v>
      </c>
      <c r="H24" s="117" t="s">
        <v>654</v>
      </c>
      <c r="I24" s="117"/>
      <c r="J24" s="117"/>
      <c r="K24" s="117"/>
      <c r="L24" s="117"/>
      <c r="M24" s="117"/>
      <c r="N24" s="117"/>
      <c r="O24" s="120" t="s">
        <v>1868</v>
      </c>
    </row>
    <row r="25" spans="1:15" ht="138.94999999999999" customHeight="1">
      <c r="A25" s="117" t="s">
        <v>1895</v>
      </c>
      <c r="B25" s="118" t="s">
        <v>1896</v>
      </c>
      <c r="C25" s="118" t="s">
        <v>1897</v>
      </c>
      <c r="D25" s="119" t="s">
        <v>242</v>
      </c>
      <c r="E25" s="119" t="s">
        <v>686</v>
      </c>
      <c r="F25" s="117" t="s">
        <v>197</v>
      </c>
      <c r="G25" s="117" t="s">
        <v>671</v>
      </c>
      <c r="H25" s="117" t="s">
        <v>654</v>
      </c>
      <c r="I25" s="117"/>
      <c r="J25" s="117"/>
      <c r="K25" s="117"/>
      <c r="L25" s="117"/>
      <c r="M25" s="117"/>
      <c r="N25" s="117"/>
      <c r="O25" s="120" t="s">
        <v>1868</v>
      </c>
    </row>
    <row r="26" spans="1:15" ht="15.75" customHeight="1">
      <c r="A26" s="114" t="s">
        <v>1898</v>
      </c>
      <c r="B26" s="114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</row>
    <row r="27" spans="1:15" ht="93.95" customHeight="1">
      <c r="A27" s="117" t="s">
        <v>1899</v>
      </c>
      <c r="B27" s="118" t="s">
        <v>1900</v>
      </c>
      <c r="C27" s="118" t="s">
        <v>1901</v>
      </c>
      <c r="D27" s="119" t="s">
        <v>681</v>
      </c>
      <c r="E27" s="119" t="s">
        <v>686</v>
      </c>
      <c r="F27" s="117" t="s">
        <v>197</v>
      </c>
      <c r="G27" s="117" t="s">
        <v>671</v>
      </c>
      <c r="H27" s="117" t="s">
        <v>654</v>
      </c>
      <c r="I27" s="117"/>
      <c r="J27" s="117"/>
      <c r="K27" s="117"/>
      <c r="L27" s="117"/>
      <c r="M27" s="117"/>
      <c r="N27" s="117"/>
      <c r="O27" s="120" t="s">
        <v>1868</v>
      </c>
    </row>
    <row r="28" spans="1:15" ht="15.75" customHeight="1">
      <c r="A28" s="114" t="s">
        <v>293</v>
      </c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6"/>
    </row>
    <row r="29" spans="1:15" ht="78.95" customHeight="1">
      <c r="A29" s="117" t="s">
        <v>1902</v>
      </c>
      <c r="B29" s="118" t="s">
        <v>803</v>
      </c>
      <c r="C29" s="118" t="s">
        <v>1903</v>
      </c>
      <c r="D29" s="119" t="s">
        <v>805</v>
      </c>
      <c r="E29" s="119" t="s">
        <v>806</v>
      </c>
      <c r="F29" s="117" t="s">
        <v>197</v>
      </c>
      <c r="G29" s="117" t="s">
        <v>671</v>
      </c>
      <c r="H29" s="117" t="s">
        <v>654</v>
      </c>
      <c r="I29" s="117"/>
      <c r="J29" s="117"/>
      <c r="K29" s="117"/>
      <c r="L29" s="117"/>
      <c r="M29" s="117"/>
      <c r="N29" s="117"/>
      <c r="O29" s="120" t="s">
        <v>1868</v>
      </c>
    </row>
    <row r="30" spans="1:15" ht="108.95" customHeight="1">
      <c r="A30" s="117" t="s">
        <v>1904</v>
      </c>
      <c r="B30" s="118" t="s">
        <v>808</v>
      </c>
      <c r="C30" s="118" t="s">
        <v>1905</v>
      </c>
      <c r="D30" s="119" t="s">
        <v>810</v>
      </c>
      <c r="E30" s="119" t="s">
        <v>811</v>
      </c>
      <c r="F30" s="117" t="s">
        <v>197</v>
      </c>
      <c r="G30" s="117" t="s">
        <v>671</v>
      </c>
      <c r="H30" s="117" t="s">
        <v>654</v>
      </c>
      <c r="I30" s="117"/>
      <c r="J30" s="117"/>
      <c r="K30" s="117"/>
      <c r="L30" s="117"/>
      <c r="M30" s="117"/>
      <c r="N30" s="117"/>
      <c r="O30" s="120" t="s">
        <v>1868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2F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168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170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4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0</v>
      </c>
      <c r="C6" s="60">
        <f>COUNTIF($F$11:$F$2000,C$5)</f>
        <v>0</v>
      </c>
      <c r="D6" s="60">
        <f>COUNTIF($F$11:$F$2000,D$5)</f>
        <v>4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1906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1907</v>
      </c>
      <c r="B12" s="118" t="s">
        <v>1908</v>
      </c>
      <c r="C12" s="118" t="s">
        <v>1909</v>
      </c>
      <c r="D12" s="119" t="s">
        <v>681</v>
      </c>
      <c r="E12" s="119" t="s">
        <v>670</v>
      </c>
      <c r="F12" s="117" t="s">
        <v>199</v>
      </c>
      <c r="G12" s="117"/>
      <c r="H12" s="117" t="s">
        <v>654</v>
      </c>
      <c r="I12" s="117"/>
      <c r="J12" s="117"/>
      <c r="K12" s="117"/>
      <c r="L12" s="117"/>
      <c r="M12" s="117"/>
      <c r="N12" s="117"/>
      <c r="O12" s="120" t="s">
        <v>816</v>
      </c>
    </row>
    <row r="13" spans="1:18" ht="15.75" customHeight="1" outlineLevel="1">
      <c r="A13" s="114" t="s">
        <v>1910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93.95" customHeight="1" outlineLevel="1">
      <c r="A14" s="117" t="s">
        <v>1911</v>
      </c>
      <c r="B14" s="118" t="s">
        <v>1912</v>
      </c>
      <c r="C14" s="118" t="s">
        <v>1913</v>
      </c>
      <c r="D14" s="119" t="s">
        <v>681</v>
      </c>
      <c r="E14" s="119" t="s">
        <v>686</v>
      </c>
      <c r="F14" s="117" t="s">
        <v>199</v>
      </c>
      <c r="G14" s="117"/>
      <c r="H14" s="117" t="s">
        <v>654</v>
      </c>
      <c r="I14" s="117"/>
      <c r="J14" s="117"/>
      <c r="K14" s="117"/>
      <c r="L14" s="117"/>
      <c r="M14" s="117"/>
      <c r="N14" s="117"/>
      <c r="O14" s="120" t="s">
        <v>816</v>
      </c>
    </row>
    <row r="15" spans="1:18" s="21" customFormat="1" ht="15.75" customHeight="1">
      <c r="A15" s="114" t="s">
        <v>293</v>
      </c>
      <c r="B15" s="114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6"/>
    </row>
    <row r="16" spans="1:18" ht="78.95" customHeight="1" outlineLevel="1">
      <c r="A16" s="117" t="s">
        <v>1914</v>
      </c>
      <c r="B16" s="118" t="s">
        <v>803</v>
      </c>
      <c r="C16" s="118" t="s">
        <v>1915</v>
      </c>
      <c r="D16" s="119" t="s">
        <v>805</v>
      </c>
      <c r="E16" s="119" t="s">
        <v>806</v>
      </c>
      <c r="F16" s="117" t="s">
        <v>199</v>
      </c>
      <c r="G16" s="117"/>
      <c r="H16" s="117" t="s">
        <v>654</v>
      </c>
      <c r="I16" s="117"/>
      <c r="J16" s="117"/>
      <c r="K16" s="117"/>
      <c r="L16" s="117"/>
      <c r="M16" s="117"/>
      <c r="N16" s="117"/>
      <c r="O16" s="120" t="s">
        <v>534</v>
      </c>
    </row>
    <row r="17" spans="1:15" ht="108.95" customHeight="1" outlineLevel="1">
      <c r="A17" s="117" t="s">
        <v>1916</v>
      </c>
      <c r="B17" s="118" t="s">
        <v>808</v>
      </c>
      <c r="C17" s="118" t="s">
        <v>1917</v>
      </c>
      <c r="D17" s="119" t="s">
        <v>810</v>
      </c>
      <c r="E17" s="119" t="s">
        <v>811</v>
      </c>
      <c r="F17" s="117" t="s">
        <v>199</v>
      </c>
      <c r="G17" s="117"/>
      <c r="H17" s="117" t="s">
        <v>654</v>
      </c>
      <c r="I17" s="117"/>
      <c r="J17" s="117"/>
      <c r="K17" s="117"/>
      <c r="L17" s="117"/>
      <c r="M17" s="117"/>
      <c r="N17" s="117"/>
      <c r="O17" s="120" t="s">
        <v>534</v>
      </c>
    </row>
    <row r="18" spans="1:15" s="21" customFormat="1" ht="15.75" customHeight="1"/>
    <row r="19" spans="1:15" ht="14.1" customHeight="1" outlineLevel="1"/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30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171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173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3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3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1918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1919</v>
      </c>
      <c r="B12" s="118" t="s">
        <v>1920</v>
      </c>
      <c r="C12" s="118" t="s">
        <v>1921</v>
      </c>
      <c r="D12" s="119" t="s">
        <v>681</v>
      </c>
      <c r="E12" s="119" t="s">
        <v>686</v>
      </c>
      <c r="F12" s="117" t="s">
        <v>197</v>
      </c>
      <c r="G12" s="117" t="s">
        <v>671</v>
      </c>
      <c r="H12" s="117" t="s">
        <v>654</v>
      </c>
      <c r="I12" s="117"/>
      <c r="J12" s="117"/>
      <c r="K12" s="117"/>
      <c r="L12" s="117"/>
      <c r="M12" s="117"/>
      <c r="N12" s="117"/>
      <c r="O12" s="120" t="s">
        <v>1922</v>
      </c>
    </row>
    <row r="13" spans="1:18" ht="15.75" customHeight="1" outlineLevel="1">
      <c r="A13" s="114" t="s">
        <v>293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93.95" customHeight="1" outlineLevel="1">
      <c r="A14" s="117" t="s">
        <v>1923</v>
      </c>
      <c r="B14" s="118" t="s">
        <v>803</v>
      </c>
      <c r="C14" s="118" t="s">
        <v>1924</v>
      </c>
      <c r="D14" s="119" t="s">
        <v>805</v>
      </c>
      <c r="E14" s="119" t="s">
        <v>806</v>
      </c>
      <c r="F14" s="117" t="s">
        <v>197</v>
      </c>
      <c r="G14" s="117" t="s">
        <v>671</v>
      </c>
      <c r="H14" s="117" t="s">
        <v>654</v>
      </c>
      <c r="I14" s="117"/>
      <c r="J14" s="117"/>
      <c r="K14" s="117"/>
      <c r="L14" s="117"/>
      <c r="M14" s="117"/>
      <c r="N14" s="117"/>
      <c r="O14" s="120" t="s">
        <v>1922</v>
      </c>
    </row>
    <row r="15" spans="1:18" s="21" customFormat="1" ht="108.95" customHeight="1">
      <c r="A15" s="117" t="s">
        <v>1925</v>
      </c>
      <c r="B15" s="118" t="s">
        <v>808</v>
      </c>
      <c r="C15" s="118" t="s">
        <v>1926</v>
      </c>
      <c r="D15" s="119" t="s">
        <v>810</v>
      </c>
      <c r="E15" s="119" t="s">
        <v>811</v>
      </c>
      <c r="F15" s="117" t="s">
        <v>197</v>
      </c>
      <c r="G15" s="117" t="s">
        <v>671</v>
      </c>
      <c r="H15" s="117" t="s">
        <v>654</v>
      </c>
      <c r="I15" s="117"/>
      <c r="J15" s="117"/>
      <c r="K15" s="117"/>
      <c r="L15" s="117"/>
      <c r="M15" s="117"/>
      <c r="N15" s="117"/>
      <c r="O15" s="120" t="s">
        <v>1922</v>
      </c>
    </row>
    <row r="16" spans="1:18" ht="14.1" customHeight="1" outlineLevel="1"/>
    <row r="17" ht="14.1" customHeight="1" outlineLevel="1"/>
    <row r="18" s="21" customFormat="1" ht="15.75" customHeight="1"/>
    <row r="19" ht="14.1" customHeight="1" outlineLevel="1"/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31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R55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174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176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28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28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1927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1928</v>
      </c>
      <c r="B12" s="118" t="s">
        <v>1929</v>
      </c>
      <c r="C12" s="118" t="s">
        <v>1930</v>
      </c>
      <c r="D12" s="119" t="s">
        <v>681</v>
      </c>
      <c r="E12" s="119" t="s">
        <v>670</v>
      </c>
      <c r="F12" s="117" t="s">
        <v>197</v>
      </c>
      <c r="G12" s="117" t="s">
        <v>671</v>
      </c>
      <c r="H12" s="117" t="s">
        <v>672</v>
      </c>
      <c r="I12" s="117"/>
      <c r="J12" s="117"/>
      <c r="K12" s="117"/>
      <c r="L12" s="117"/>
      <c r="M12" s="117"/>
      <c r="N12" s="117"/>
      <c r="O12" s="120" t="s">
        <v>1931</v>
      </c>
    </row>
    <row r="13" spans="1:18" ht="15.75" customHeight="1" outlineLevel="1">
      <c r="A13" s="114" t="s">
        <v>1932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78.95" customHeight="1" outlineLevel="1">
      <c r="A14" s="117" t="s">
        <v>1933</v>
      </c>
      <c r="B14" s="118" t="s">
        <v>1934</v>
      </c>
      <c r="C14" s="118" t="s">
        <v>1935</v>
      </c>
      <c r="D14" s="119" t="s">
        <v>681</v>
      </c>
      <c r="E14" s="119" t="s">
        <v>670</v>
      </c>
      <c r="F14" s="117" t="s">
        <v>197</v>
      </c>
      <c r="G14" s="117" t="s">
        <v>671</v>
      </c>
      <c r="H14" s="117" t="s">
        <v>672</v>
      </c>
      <c r="I14" s="117"/>
      <c r="J14" s="117"/>
      <c r="K14" s="117"/>
      <c r="L14" s="117"/>
      <c r="M14" s="117"/>
      <c r="N14" s="117"/>
      <c r="O14" s="120" t="s">
        <v>1931</v>
      </c>
    </row>
    <row r="15" spans="1:18" s="21" customFormat="1" ht="15.75" customHeight="1">
      <c r="A15" s="114" t="s">
        <v>1936</v>
      </c>
      <c r="B15" s="114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6"/>
    </row>
    <row r="16" spans="1:18" ht="78.95" customHeight="1" outlineLevel="1">
      <c r="A16" s="117" t="s">
        <v>1937</v>
      </c>
      <c r="B16" s="118" t="s">
        <v>1938</v>
      </c>
      <c r="C16" s="118" t="s">
        <v>1939</v>
      </c>
      <c r="D16" s="119" t="s">
        <v>681</v>
      </c>
      <c r="E16" s="119" t="s">
        <v>670</v>
      </c>
      <c r="F16" s="117" t="s">
        <v>197</v>
      </c>
      <c r="G16" s="117" t="s">
        <v>671</v>
      </c>
      <c r="H16" s="117" t="s">
        <v>672</v>
      </c>
      <c r="I16" s="117"/>
      <c r="J16" s="117"/>
      <c r="K16" s="117"/>
      <c r="L16" s="117"/>
      <c r="M16" s="117"/>
      <c r="N16" s="117"/>
      <c r="O16" s="120" t="s">
        <v>1931</v>
      </c>
    </row>
    <row r="17" spans="1:15" ht="15.75" customHeight="1" outlineLevel="1">
      <c r="A17" s="114" t="s">
        <v>1940</v>
      </c>
      <c r="B17" s="114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6"/>
    </row>
    <row r="18" spans="1:15" s="21" customFormat="1" ht="93.95" customHeight="1">
      <c r="A18" s="117" t="s">
        <v>1941</v>
      </c>
      <c r="B18" s="118" t="s">
        <v>1942</v>
      </c>
      <c r="C18" s="118" t="s">
        <v>1943</v>
      </c>
      <c r="D18" s="119" t="s">
        <v>238</v>
      </c>
      <c r="E18" s="119" t="s">
        <v>670</v>
      </c>
      <c r="F18" s="117" t="s">
        <v>197</v>
      </c>
      <c r="G18" s="117" t="s">
        <v>671</v>
      </c>
      <c r="H18" s="117" t="s">
        <v>672</v>
      </c>
      <c r="I18" s="117"/>
      <c r="J18" s="117"/>
      <c r="K18" s="117"/>
      <c r="L18" s="117"/>
      <c r="M18" s="117"/>
      <c r="N18" s="117"/>
      <c r="O18" s="120" t="s">
        <v>1931</v>
      </c>
    </row>
    <row r="19" spans="1:15" ht="123.95" customHeight="1" outlineLevel="1">
      <c r="A19" s="117" t="s">
        <v>1944</v>
      </c>
      <c r="B19" s="118" t="s">
        <v>1945</v>
      </c>
      <c r="C19" s="118" t="s">
        <v>1946</v>
      </c>
      <c r="D19" s="119" t="s">
        <v>242</v>
      </c>
      <c r="E19" s="119" t="s">
        <v>670</v>
      </c>
      <c r="F19" s="117" t="s">
        <v>197</v>
      </c>
      <c r="G19" s="117" t="s">
        <v>671</v>
      </c>
      <c r="H19" s="117" t="s">
        <v>672</v>
      </c>
      <c r="I19" s="117"/>
      <c r="J19" s="117"/>
      <c r="K19" s="117"/>
      <c r="L19" s="117"/>
      <c r="M19" s="117"/>
      <c r="N19" s="117"/>
      <c r="O19" s="120" t="s">
        <v>1931</v>
      </c>
    </row>
    <row r="20" spans="1:15" ht="15.75" customHeight="1">
      <c r="A20" s="114" t="s">
        <v>1947</v>
      </c>
      <c r="B20" s="114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6"/>
    </row>
    <row r="21" spans="1:15" ht="93.95" customHeight="1">
      <c r="A21" s="117" t="s">
        <v>1948</v>
      </c>
      <c r="B21" s="118" t="s">
        <v>1949</v>
      </c>
      <c r="C21" s="118" t="s">
        <v>1950</v>
      </c>
      <c r="D21" s="119" t="s">
        <v>238</v>
      </c>
      <c r="E21" s="119" t="s">
        <v>670</v>
      </c>
      <c r="F21" s="117" t="s">
        <v>197</v>
      </c>
      <c r="G21" s="117" t="s">
        <v>671</v>
      </c>
      <c r="H21" s="117" t="s">
        <v>672</v>
      </c>
      <c r="I21" s="117"/>
      <c r="J21" s="117"/>
      <c r="K21" s="117"/>
      <c r="L21" s="117"/>
      <c r="M21" s="117"/>
      <c r="N21" s="117"/>
      <c r="O21" s="120" t="s">
        <v>1931</v>
      </c>
    </row>
    <row r="22" spans="1:15" ht="123.95" customHeight="1">
      <c r="A22" s="117" t="s">
        <v>1951</v>
      </c>
      <c r="B22" s="118" t="s">
        <v>1952</v>
      </c>
      <c r="C22" s="118" t="s">
        <v>1953</v>
      </c>
      <c r="D22" s="119" t="s">
        <v>242</v>
      </c>
      <c r="E22" s="119" t="s">
        <v>670</v>
      </c>
      <c r="F22" s="117" t="s">
        <v>197</v>
      </c>
      <c r="G22" s="117" t="s">
        <v>671</v>
      </c>
      <c r="H22" s="117" t="s">
        <v>672</v>
      </c>
      <c r="I22" s="117"/>
      <c r="J22" s="117"/>
      <c r="K22" s="117"/>
      <c r="L22" s="117"/>
      <c r="M22" s="117"/>
      <c r="N22" s="117"/>
      <c r="O22" s="120" t="s">
        <v>1931</v>
      </c>
    </row>
    <row r="23" spans="1:15" ht="15.75" customHeight="1">
      <c r="A23" s="114" t="s">
        <v>1954</v>
      </c>
      <c r="B23" s="114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6"/>
    </row>
    <row r="24" spans="1:15" ht="93.95" customHeight="1">
      <c r="A24" s="117" t="s">
        <v>1955</v>
      </c>
      <c r="B24" s="118" t="s">
        <v>1956</v>
      </c>
      <c r="C24" s="118" t="s">
        <v>1957</v>
      </c>
      <c r="D24" s="119" t="s">
        <v>282</v>
      </c>
      <c r="E24" s="119" t="s">
        <v>686</v>
      </c>
      <c r="F24" s="117" t="s">
        <v>197</v>
      </c>
      <c r="G24" s="117" t="s">
        <v>671</v>
      </c>
      <c r="H24" s="117" t="s">
        <v>672</v>
      </c>
      <c r="I24" s="117"/>
      <c r="J24" s="117"/>
      <c r="K24" s="117"/>
      <c r="L24" s="117"/>
      <c r="M24" s="117"/>
      <c r="N24" s="117"/>
      <c r="O24" s="120" t="s">
        <v>1931</v>
      </c>
    </row>
    <row r="25" spans="1:15" ht="123.95" customHeight="1">
      <c r="A25" s="117" t="s">
        <v>1958</v>
      </c>
      <c r="B25" s="118" t="s">
        <v>1959</v>
      </c>
      <c r="C25" s="118" t="s">
        <v>1960</v>
      </c>
      <c r="D25" s="119" t="s">
        <v>242</v>
      </c>
      <c r="E25" s="119" t="s">
        <v>686</v>
      </c>
      <c r="F25" s="117" t="s">
        <v>197</v>
      </c>
      <c r="G25" s="117" t="s">
        <v>671</v>
      </c>
      <c r="H25" s="117" t="s">
        <v>672</v>
      </c>
      <c r="I25" s="117"/>
      <c r="J25" s="117"/>
      <c r="K25" s="117"/>
      <c r="L25" s="117"/>
      <c r="M25" s="117"/>
      <c r="N25" s="117"/>
      <c r="O25" s="120" t="s">
        <v>1931</v>
      </c>
    </row>
    <row r="26" spans="1:15" ht="15.75" customHeight="1">
      <c r="A26" s="114" t="s">
        <v>1961</v>
      </c>
      <c r="B26" s="114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</row>
    <row r="27" spans="1:15" ht="78.95" customHeight="1">
      <c r="A27" s="117" t="s">
        <v>1962</v>
      </c>
      <c r="B27" s="118" t="s">
        <v>1963</v>
      </c>
      <c r="C27" s="118" t="s">
        <v>1964</v>
      </c>
      <c r="D27" s="119" t="s">
        <v>681</v>
      </c>
      <c r="E27" s="119" t="s">
        <v>686</v>
      </c>
      <c r="F27" s="117" t="s">
        <v>197</v>
      </c>
      <c r="G27" s="117" t="s">
        <v>671</v>
      </c>
      <c r="H27" s="117" t="s">
        <v>672</v>
      </c>
      <c r="I27" s="117"/>
      <c r="J27" s="117"/>
      <c r="K27" s="117"/>
      <c r="L27" s="117"/>
      <c r="M27" s="117"/>
      <c r="N27" s="117"/>
      <c r="O27" s="120" t="s">
        <v>1931</v>
      </c>
    </row>
    <row r="28" spans="1:15" ht="15.75" customHeight="1">
      <c r="A28" s="114" t="s">
        <v>1965</v>
      </c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6"/>
    </row>
    <row r="29" spans="1:15" ht="78.95" customHeight="1">
      <c r="A29" s="117" t="s">
        <v>1966</v>
      </c>
      <c r="B29" s="118" t="s">
        <v>1967</v>
      </c>
      <c r="C29" s="118" t="s">
        <v>1968</v>
      </c>
      <c r="D29" s="119" t="s">
        <v>681</v>
      </c>
      <c r="E29" s="119" t="s">
        <v>670</v>
      </c>
      <c r="F29" s="117" t="s">
        <v>197</v>
      </c>
      <c r="G29" s="117" t="s">
        <v>671</v>
      </c>
      <c r="H29" s="117" t="s">
        <v>672</v>
      </c>
      <c r="I29" s="117"/>
      <c r="J29" s="117"/>
      <c r="K29" s="117"/>
      <c r="L29" s="117"/>
      <c r="M29" s="117"/>
      <c r="N29" s="117"/>
      <c r="O29" s="120" t="s">
        <v>1931</v>
      </c>
    </row>
    <row r="30" spans="1:15" ht="15.75" customHeight="1">
      <c r="A30" s="114" t="s">
        <v>1969</v>
      </c>
      <c r="B30" s="114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6"/>
    </row>
    <row r="31" spans="1:15" ht="93.95" customHeight="1">
      <c r="A31" s="117" t="s">
        <v>1970</v>
      </c>
      <c r="B31" s="118" t="s">
        <v>1971</v>
      </c>
      <c r="C31" s="118" t="s">
        <v>1972</v>
      </c>
      <c r="D31" s="119" t="s">
        <v>238</v>
      </c>
      <c r="E31" s="119" t="s">
        <v>686</v>
      </c>
      <c r="F31" s="117" t="s">
        <v>197</v>
      </c>
      <c r="G31" s="117" t="s">
        <v>671</v>
      </c>
      <c r="H31" s="117" t="s">
        <v>672</v>
      </c>
      <c r="I31" s="117"/>
      <c r="J31" s="117"/>
      <c r="K31" s="117"/>
      <c r="L31" s="117"/>
      <c r="M31" s="117"/>
      <c r="N31" s="117"/>
      <c r="O31" s="120" t="s">
        <v>1931</v>
      </c>
    </row>
    <row r="32" spans="1:15" ht="123.95" customHeight="1">
      <c r="A32" s="117" t="s">
        <v>1973</v>
      </c>
      <c r="B32" s="118" t="s">
        <v>1974</v>
      </c>
      <c r="C32" s="118" t="s">
        <v>1975</v>
      </c>
      <c r="D32" s="119" t="s">
        <v>242</v>
      </c>
      <c r="E32" s="119" t="s">
        <v>686</v>
      </c>
      <c r="F32" s="117" t="s">
        <v>197</v>
      </c>
      <c r="G32" s="117" t="s">
        <v>671</v>
      </c>
      <c r="H32" s="117" t="s">
        <v>672</v>
      </c>
      <c r="I32" s="117"/>
      <c r="J32" s="117"/>
      <c r="K32" s="117"/>
      <c r="L32" s="117"/>
      <c r="M32" s="117"/>
      <c r="N32" s="117"/>
      <c r="O32" s="120" t="s">
        <v>1931</v>
      </c>
    </row>
    <row r="33" spans="1:15" ht="15.75" customHeight="1">
      <c r="A33" s="114" t="s">
        <v>1976</v>
      </c>
      <c r="B33" s="114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6"/>
    </row>
    <row r="34" spans="1:15" ht="93.95" customHeight="1">
      <c r="A34" s="117" t="s">
        <v>1977</v>
      </c>
      <c r="B34" s="118" t="s">
        <v>1978</v>
      </c>
      <c r="C34" s="118" t="s">
        <v>1979</v>
      </c>
      <c r="D34" s="119" t="s">
        <v>238</v>
      </c>
      <c r="E34" s="119" t="s">
        <v>686</v>
      </c>
      <c r="F34" s="117" t="s">
        <v>197</v>
      </c>
      <c r="G34" s="117" t="s">
        <v>671</v>
      </c>
      <c r="H34" s="117" t="s">
        <v>672</v>
      </c>
      <c r="I34" s="117"/>
      <c r="J34" s="117"/>
      <c r="K34" s="117"/>
      <c r="L34" s="117"/>
      <c r="M34" s="117"/>
      <c r="N34" s="117"/>
      <c r="O34" s="120" t="s">
        <v>1931</v>
      </c>
    </row>
    <row r="35" spans="1:15" ht="138.94999999999999" customHeight="1">
      <c r="A35" s="117" t="s">
        <v>1980</v>
      </c>
      <c r="B35" s="118" t="s">
        <v>1981</v>
      </c>
      <c r="C35" s="118" t="s">
        <v>1982</v>
      </c>
      <c r="D35" s="119" t="s">
        <v>242</v>
      </c>
      <c r="E35" s="119" t="s">
        <v>686</v>
      </c>
      <c r="F35" s="117" t="s">
        <v>197</v>
      </c>
      <c r="G35" s="117" t="s">
        <v>671</v>
      </c>
      <c r="H35" s="117" t="s">
        <v>672</v>
      </c>
      <c r="I35" s="117"/>
      <c r="J35" s="117"/>
      <c r="K35" s="117"/>
      <c r="L35" s="117"/>
      <c r="M35" s="117"/>
      <c r="N35" s="117"/>
      <c r="O35" s="120" t="s">
        <v>1931</v>
      </c>
    </row>
    <row r="36" spans="1:15" ht="15.75" customHeight="1">
      <c r="A36" s="114" t="s">
        <v>1983</v>
      </c>
      <c r="B36" s="114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6"/>
    </row>
    <row r="37" spans="1:15" ht="93.95" customHeight="1">
      <c r="A37" s="117" t="s">
        <v>1984</v>
      </c>
      <c r="B37" s="118" t="s">
        <v>1985</v>
      </c>
      <c r="C37" s="118" t="s">
        <v>1986</v>
      </c>
      <c r="D37" s="119" t="s">
        <v>238</v>
      </c>
      <c r="E37" s="119" t="s">
        <v>686</v>
      </c>
      <c r="F37" s="117" t="s">
        <v>197</v>
      </c>
      <c r="G37" s="117" t="s">
        <v>671</v>
      </c>
      <c r="H37" s="117" t="s">
        <v>672</v>
      </c>
      <c r="I37" s="117"/>
      <c r="J37" s="117"/>
      <c r="K37" s="117"/>
      <c r="L37" s="117"/>
      <c r="M37" s="117"/>
      <c r="N37" s="117"/>
      <c r="O37" s="120" t="s">
        <v>1931</v>
      </c>
    </row>
    <row r="38" spans="1:15" ht="123.95" customHeight="1">
      <c r="A38" s="117" t="s">
        <v>1987</v>
      </c>
      <c r="B38" s="118" t="s">
        <v>1988</v>
      </c>
      <c r="C38" s="118" t="s">
        <v>1989</v>
      </c>
      <c r="D38" s="119" t="s">
        <v>242</v>
      </c>
      <c r="E38" s="119" t="s">
        <v>686</v>
      </c>
      <c r="F38" s="117" t="s">
        <v>197</v>
      </c>
      <c r="G38" s="117" t="s">
        <v>671</v>
      </c>
      <c r="H38" s="117" t="s">
        <v>672</v>
      </c>
      <c r="I38" s="117"/>
      <c r="J38" s="117"/>
      <c r="K38" s="117"/>
      <c r="L38" s="117"/>
      <c r="M38" s="117"/>
      <c r="N38" s="117"/>
      <c r="O38" s="120" t="s">
        <v>1931</v>
      </c>
    </row>
    <row r="39" spans="1:15" ht="15.75" customHeight="1">
      <c r="A39" s="114" t="s">
        <v>1990</v>
      </c>
      <c r="B39" s="114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6"/>
    </row>
    <row r="40" spans="1:15" ht="93.95" customHeight="1">
      <c r="A40" s="117" t="s">
        <v>1991</v>
      </c>
      <c r="B40" s="118" t="s">
        <v>1992</v>
      </c>
      <c r="C40" s="118" t="s">
        <v>1993</v>
      </c>
      <c r="D40" s="119" t="s">
        <v>238</v>
      </c>
      <c r="E40" s="119" t="s">
        <v>686</v>
      </c>
      <c r="F40" s="117" t="s">
        <v>197</v>
      </c>
      <c r="G40" s="117" t="s">
        <v>671</v>
      </c>
      <c r="H40" s="117" t="s">
        <v>672</v>
      </c>
      <c r="I40" s="117"/>
      <c r="J40" s="117"/>
      <c r="K40" s="117"/>
      <c r="L40" s="117"/>
      <c r="M40" s="117"/>
      <c r="N40" s="117"/>
      <c r="O40" s="120" t="s">
        <v>1931</v>
      </c>
    </row>
    <row r="41" spans="1:15" ht="123.95" customHeight="1">
      <c r="A41" s="117" t="s">
        <v>1994</v>
      </c>
      <c r="B41" s="118" t="s">
        <v>1995</v>
      </c>
      <c r="C41" s="118" t="s">
        <v>1996</v>
      </c>
      <c r="D41" s="119" t="s">
        <v>242</v>
      </c>
      <c r="E41" s="119" t="s">
        <v>686</v>
      </c>
      <c r="F41" s="117" t="s">
        <v>197</v>
      </c>
      <c r="G41" s="117" t="s">
        <v>671</v>
      </c>
      <c r="H41" s="117" t="s">
        <v>672</v>
      </c>
      <c r="I41" s="117"/>
      <c r="J41" s="117"/>
      <c r="K41" s="117"/>
      <c r="L41" s="117"/>
      <c r="M41" s="117"/>
      <c r="N41" s="117"/>
      <c r="O41" s="120" t="s">
        <v>1931</v>
      </c>
    </row>
    <row r="42" spans="1:15" ht="15.75" customHeight="1">
      <c r="A42" s="114" t="s">
        <v>1997</v>
      </c>
      <c r="B42" s="114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6"/>
    </row>
    <row r="43" spans="1:15" ht="93.95" customHeight="1">
      <c r="A43" s="117" t="s">
        <v>1998</v>
      </c>
      <c r="B43" s="118" t="s">
        <v>1999</v>
      </c>
      <c r="C43" s="118" t="s">
        <v>2000</v>
      </c>
      <c r="D43" s="119" t="s">
        <v>238</v>
      </c>
      <c r="E43" s="119" t="s">
        <v>686</v>
      </c>
      <c r="F43" s="117" t="s">
        <v>197</v>
      </c>
      <c r="G43" s="117" t="s">
        <v>671</v>
      </c>
      <c r="H43" s="117" t="s">
        <v>672</v>
      </c>
      <c r="I43" s="117"/>
      <c r="J43" s="117"/>
      <c r="K43" s="117"/>
      <c r="L43" s="117"/>
      <c r="M43" s="117"/>
      <c r="N43" s="117"/>
      <c r="O43" s="120" t="s">
        <v>1931</v>
      </c>
    </row>
    <row r="44" spans="1:15" ht="138.94999999999999" customHeight="1">
      <c r="A44" s="117" t="s">
        <v>2001</v>
      </c>
      <c r="B44" s="118" t="s">
        <v>2002</v>
      </c>
      <c r="C44" s="118" t="s">
        <v>2003</v>
      </c>
      <c r="D44" s="119" t="s">
        <v>242</v>
      </c>
      <c r="E44" s="119" t="s">
        <v>686</v>
      </c>
      <c r="F44" s="117" t="s">
        <v>197</v>
      </c>
      <c r="G44" s="117" t="s">
        <v>671</v>
      </c>
      <c r="H44" s="117" t="s">
        <v>672</v>
      </c>
      <c r="I44" s="117"/>
      <c r="J44" s="117"/>
      <c r="K44" s="117"/>
      <c r="L44" s="117"/>
      <c r="M44" s="117"/>
      <c r="N44" s="117"/>
      <c r="O44" s="120" t="s">
        <v>1931</v>
      </c>
    </row>
    <row r="45" spans="1:15" ht="15.75" customHeight="1">
      <c r="A45" s="114" t="s">
        <v>2004</v>
      </c>
      <c r="B45" s="114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6"/>
    </row>
    <row r="46" spans="1:15" ht="93.95" customHeight="1">
      <c r="A46" s="117" t="s">
        <v>2005</v>
      </c>
      <c r="B46" s="118" t="s">
        <v>2006</v>
      </c>
      <c r="C46" s="118" t="s">
        <v>2007</v>
      </c>
      <c r="D46" s="119" t="s">
        <v>238</v>
      </c>
      <c r="E46" s="119" t="s">
        <v>686</v>
      </c>
      <c r="F46" s="117" t="s">
        <v>197</v>
      </c>
      <c r="G46" s="117" t="s">
        <v>671</v>
      </c>
      <c r="H46" s="117" t="s">
        <v>672</v>
      </c>
      <c r="I46" s="117"/>
      <c r="J46" s="117"/>
      <c r="K46" s="117"/>
      <c r="L46" s="117"/>
      <c r="M46" s="117"/>
      <c r="N46" s="117"/>
      <c r="O46" s="120" t="s">
        <v>1931</v>
      </c>
    </row>
    <row r="47" spans="1:15" ht="123.95" customHeight="1">
      <c r="A47" s="117" t="s">
        <v>2008</v>
      </c>
      <c r="B47" s="118" t="s">
        <v>2009</v>
      </c>
      <c r="C47" s="118" t="s">
        <v>2010</v>
      </c>
      <c r="D47" s="119" t="s">
        <v>242</v>
      </c>
      <c r="E47" s="119" t="s">
        <v>686</v>
      </c>
      <c r="F47" s="117" t="s">
        <v>197</v>
      </c>
      <c r="G47" s="117" t="s">
        <v>671</v>
      </c>
      <c r="H47" s="117" t="s">
        <v>672</v>
      </c>
      <c r="I47" s="117"/>
      <c r="J47" s="117"/>
      <c r="K47" s="117"/>
      <c r="L47" s="117"/>
      <c r="M47" s="117"/>
      <c r="N47" s="117"/>
      <c r="O47" s="120" t="s">
        <v>1931</v>
      </c>
    </row>
    <row r="48" spans="1:15" ht="15.75" customHeight="1">
      <c r="A48" s="114" t="s">
        <v>2011</v>
      </c>
      <c r="B48" s="114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6"/>
    </row>
    <row r="49" spans="1:15" ht="93.95" customHeight="1">
      <c r="A49" s="117" t="s">
        <v>2012</v>
      </c>
      <c r="B49" s="118" t="s">
        <v>2013</v>
      </c>
      <c r="C49" s="118" t="s">
        <v>2014</v>
      </c>
      <c r="D49" s="119" t="s">
        <v>238</v>
      </c>
      <c r="E49" s="119" t="s">
        <v>670</v>
      </c>
      <c r="F49" s="117" t="s">
        <v>197</v>
      </c>
      <c r="G49" s="117" t="s">
        <v>671</v>
      </c>
      <c r="H49" s="117" t="s">
        <v>672</v>
      </c>
      <c r="I49" s="117"/>
      <c r="J49" s="117"/>
      <c r="K49" s="117"/>
      <c r="L49" s="117"/>
      <c r="M49" s="117"/>
      <c r="N49" s="117"/>
      <c r="O49" s="120" t="s">
        <v>1931</v>
      </c>
    </row>
    <row r="50" spans="1:15" ht="123.95" customHeight="1">
      <c r="A50" s="117" t="s">
        <v>2015</v>
      </c>
      <c r="B50" s="118" t="s">
        <v>2016</v>
      </c>
      <c r="C50" s="118" t="s">
        <v>2017</v>
      </c>
      <c r="D50" s="119" t="s">
        <v>242</v>
      </c>
      <c r="E50" s="119" t="s">
        <v>670</v>
      </c>
      <c r="F50" s="117" t="s">
        <v>197</v>
      </c>
      <c r="G50" s="117" t="s">
        <v>671</v>
      </c>
      <c r="H50" s="117" t="s">
        <v>672</v>
      </c>
      <c r="I50" s="117"/>
      <c r="J50" s="117"/>
      <c r="K50" s="117"/>
      <c r="L50" s="117"/>
      <c r="M50" s="117"/>
      <c r="N50" s="117"/>
      <c r="O50" s="120" t="s">
        <v>1931</v>
      </c>
    </row>
    <row r="51" spans="1:15" ht="15.75" customHeight="1">
      <c r="A51" s="114" t="s">
        <v>2018</v>
      </c>
      <c r="B51" s="114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6"/>
    </row>
    <row r="52" spans="1:15" ht="93.95" customHeight="1">
      <c r="A52" s="117" t="s">
        <v>2019</v>
      </c>
      <c r="B52" s="118" t="s">
        <v>2020</v>
      </c>
      <c r="C52" s="118" t="s">
        <v>2021</v>
      </c>
      <c r="D52" s="119" t="s">
        <v>681</v>
      </c>
      <c r="E52" s="119" t="s">
        <v>686</v>
      </c>
      <c r="F52" s="117" t="s">
        <v>197</v>
      </c>
      <c r="G52" s="117" t="s">
        <v>671</v>
      </c>
      <c r="H52" s="117" t="s">
        <v>672</v>
      </c>
      <c r="I52" s="117"/>
      <c r="J52" s="117"/>
      <c r="K52" s="117"/>
      <c r="L52" s="117"/>
      <c r="M52" s="117"/>
      <c r="N52" s="117"/>
      <c r="O52" s="120" t="s">
        <v>1931</v>
      </c>
    </row>
    <row r="53" spans="1:15" ht="15.75" customHeight="1">
      <c r="A53" s="114" t="s">
        <v>293</v>
      </c>
      <c r="B53" s="114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6"/>
    </row>
    <row r="54" spans="1:15" ht="78.95" customHeight="1">
      <c r="A54" s="117" t="s">
        <v>2022</v>
      </c>
      <c r="B54" s="118" t="s">
        <v>803</v>
      </c>
      <c r="C54" s="118" t="s">
        <v>2023</v>
      </c>
      <c r="D54" s="119" t="s">
        <v>805</v>
      </c>
      <c r="E54" s="119" t="s">
        <v>806</v>
      </c>
      <c r="F54" s="117" t="s">
        <v>197</v>
      </c>
      <c r="G54" s="117" t="s">
        <v>671</v>
      </c>
      <c r="H54" s="117" t="s">
        <v>672</v>
      </c>
      <c r="I54" s="117"/>
      <c r="J54" s="117"/>
      <c r="K54" s="117"/>
      <c r="L54" s="117"/>
      <c r="M54" s="117"/>
      <c r="N54" s="117"/>
      <c r="O54" s="120" t="s">
        <v>1931</v>
      </c>
    </row>
    <row r="55" spans="1:15" ht="108.95" customHeight="1">
      <c r="A55" s="117" t="s">
        <v>2024</v>
      </c>
      <c r="B55" s="118" t="s">
        <v>808</v>
      </c>
      <c r="C55" s="118" t="s">
        <v>2025</v>
      </c>
      <c r="D55" s="119" t="s">
        <v>810</v>
      </c>
      <c r="E55" s="119" t="s">
        <v>811</v>
      </c>
      <c r="F55" s="117" t="s">
        <v>197</v>
      </c>
      <c r="G55" s="117" t="s">
        <v>671</v>
      </c>
      <c r="H55" s="117" t="s">
        <v>672</v>
      </c>
      <c r="I55" s="117"/>
      <c r="J55" s="117"/>
      <c r="K55" s="117"/>
      <c r="L55" s="117"/>
      <c r="M55" s="117"/>
      <c r="N55" s="117"/>
      <c r="O55" s="120" t="s">
        <v>1931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32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R23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177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179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8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6</v>
      </c>
      <c r="C6" s="60">
        <f>COUNTIF($F$11:$F$2000,C$5)</f>
        <v>0</v>
      </c>
      <c r="D6" s="60">
        <f>COUNTIF($F$11:$F$2000,D$5)</f>
        <v>2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2026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2027</v>
      </c>
      <c r="B12" s="118" t="s">
        <v>2028</v>
      </c>
      <c r="C12" s="118" t="s">
        <v>2029</v>
      </c>
      <c r="D12" s="119" t="s">
        <v>681</v>
      </c>
      <c r="E12" s="119" t="s">
        <v>670</v>
      </c>
      <c r="F12" s="117" t="s">
        <v>197</v>
      </c>
      <c r="G12" s="117" t="s">
        <v>2030</v>
      </c>
      <c r="H12" s="117" t="s">
        <v>1029</v>
      </c>
      <c r="I12" s="117"/>
      <c r="J12" s="117"/>
      <c r="K12" s="117"/>
      <c r="L12" s="117"/>
      <c r="M12" s="117"/>
      <c r="N12" s="117"/>
      <c r="O12" s="120" t="s">
        <v>2031</v>
      </c>
    </row>
    <row r="13" spans="1:18" ht="15.75" customHeight="1" outlineLevel="1">
      <c r="A13" s="114" t="s">
        <v>2032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93.95" customHeight="1" outlineLevel="1">
      <c r="A14" s="117" t="s">
        <v>2033</v>
      </c>
      <c r="B14" s="118" t="s">
        <v>2034</v>
      </c>
      <c r="C14" s="118" t="s">
        <v>2035</v>
      </c>
      <c r="D14" s="119" t="s">
        <v>282</v>
      </c>
      <c r="E14" s="119" t="s">
        <v>686</v>
      </c>
      <c r="F14" s="117" t="s">
        <v>199</v>
      </c>
      <c r="G14" s="117"/>
      <c r="H14" s="117" t="s">
        <v>1029</v>
      </c>
      <c r="I14" s="117"/>
      <c r="J14" s="117"/>
      <c r="K14" s="117"/>
      <c r="L14" s="117"/>
      <c r="M14" s="117"/>
      <c r="N14" s="117"/>
      <c r="O14" s="120" t="s">
        <v>816</v>
      </c>
    </row>
    <row r="15" spans="1:18" s="21" customFormat="1" ht="123.95" customHeight="1">
      <c r="A15" s="117" t="s">
        <v>2036</v>
      </c>
      <c r="B15" s="118" t="s">
        <v>2037</v>
      </c>
      <c r="C15" s="118" t="s">
        <v>2038</v>
      </c>
      <c r="D15" s="119" t="s">
        <v>242</v>
      </c>
      <c r="E15" s="119" t="s">
        <v>686</v>
      </c>
      <c r="F15" s="117" t="s">
        <v>199</v>
      </c>
      <c r="G15" s="117"/>
      <c r="H15" s="117" t="s">
        <v>1029</v>
      </c>
      <c r="I15" s="117"/>
      <c r="J15" s="117"/>
      <c r="K15" s="117"/>
      <c r="L15" s="117"/>
      <c r="M15" s="117"/>
      <c r="N15" s="117"/>
      <c r="O15" s="120" t="s">
        <v>816</v>
      </c>
    </row>
    <row r="16" spans="1:18" ht="15.75" customHeight="1" outlineLevel="1">
      <c r="A16" s="114" t="s">
        <v>2039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93.95" customHeight="1" outlineLevel="1">
      <c r="A17" s="117" t="s">
        <v>2040</v>
      </c>
      <c r="B17" s="118" t="s">
        <v>2041</v>
      </c>
      <c r="C17" s="118" t="s">
        <v>2042</v>
      </c>
      <c r="D17" s="119" t="s">
        <v>681</v>
      </c>
      <c r="E17" s="119" t="s">
        <v>670</v>
      </c>
      <c r="F17" s="117" t="s">
        <v>197</v>
      </c>
      <c r="G17" s="117" t="s">
        <v>2030</v>
      </c>
      <c r="H17" s="117" t="s">
        <v>1029</v>
      </c>
      <c r="I17" s="117"/>
      <c r="J17" s="117"/>
      <c r="K17" s="117"/>
      <c r="L17" s="117"/>
      <c r="M17" s="117"/>
      <c r="N17" s="117"/>
      <c r="O17" s="120" t="s">
        <v>2031</v>
      </c>
    </row>
    <row r="18" spans="1:15" s="21" customFormat="1" ht="15.75" customHeight="1">
      <c r="A18" s="114" t="s">
        <v>2043</v>
      </c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</row>
    <row r="19" spans="1:15" ht="93.95" customHeight="1" outlineLevel="1">
      <c r="A19" s="117" t="s">
        <v>2044</v>
      </c>
      <c r="B19" s="118" t="s">
        <v>2045</v>
      </c>
      <c r="C19" s="118" t="s">
        <v>2046</v>
      </c>
      <c r="D19" s="119" t="s">
        <v>260</v>
      </c>
      <c r="E19" s="119" t="s">
        <v>670</v>
      </c>
      <c r="F19" s="117" t="s">
        <v>197</v>
      </c>
      <c r="G19" s="117" t="s">
        <v>2030</v>
      </c>
      <c r="H19" s="117" t="s">
        <v>1029</v>
      </c>
      <c r="I19" s="117"/>
      <c r="J19" s="117"/>
      <c r="K19" s="117"/>
      <c r="L19" s="117"/>
      <c r="M19" s="117"/>
      <c r="N19" s="117"/>
      <c r="O19" s="120" t="s">
        <v>2031</v>
      </c>
    </row>
    <row r="20" spans="1:15" ht="123.95" customHeight="1">
      <c r="A20" s="117" t="s">
        <v>2047</v>
      </c>
      <c r="B20" s="118" t="s">
        <v>2048</v>
      </c>
      <c r="C20" s="118" t="s">
        <v>2049</v>
      </c>
      <c r="D20" s="119" t="s">
        <v>242</v>
      </c>
      <c r="E20" s="119" t="s">
        <v>670</v>
      </c>
      <c r="F20" s="117" t="s">
        <v>197</v>
      </c>
      <c r="G20" s="117" t="s">
        <v>2030</v>
      </c>
      <c r="H20" s="117" t="s">
        <v>1029</v>
      </c>
      <c r="I20" s="117"/>
      <c r="J20" s="117"/>
      <c r="K20" s="117"/>
      <c r="L20" s="117"/>
      <c r="M20" s="117"/>
      <c r="N20" s="117"/>
      <c r="O20" s="120" t="s">
        <v>2031</v>
      </c>
    </row>
    <row r="21" spans="1:15" ht="15.75" customHeight="1">
      <c r="A21" s="114" t="s">
        <v>293</v>
      </c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6"/>
    </row>
    <row r="22" spans="1:15" ht="78.95" customHeight="1">
      <c r="A22" s="117" t="s">
        <v>2050</v>
      </c>
      <c r="B22" s="118" t="s">
        <v>803</v>
      </c>
      <c r="C22" s="118" t="s">
        <v>2051</v>
      </c>
      <c r="D22" s="119" t="s">
        <v>805</v>
      </c>
      <c r="E22" s="119" t="s">
        <v>806</v>
      </c>
      <c r="F22" s="117" t="s">
        <v>197</v>
      </c>
      <c r="G22" s="117" t="s">
        <v>2030</v>
      </c>
      <c r="H22" s="117" t="s">
        <v>1029</v>
      </c>
      <c r="I22" s="117"/>
      <c r="J22" s="117"/>
      <c r="K22" s="117"/>
      <c r="L22" s="117"/>
      <c r="M22" s="117"/>
      <c r="N22" s="117"/>
      <c r="O22" s="120" t="s">
        <v>2031</v>
      </c>
    </row>
    <row r="23" spans="1:15" ht="108.95" customHeight="1">
      <c r="A23" s="117" t="s">
        <v>2052</v>
      </c>
      <c r="B23" s="118" t="s">
        <v>808</v>
      </c>
      <c r="C23" s="118" t="s">
        <v>2053</v>
      </c>
      <c r="D23" s="119" t="s">
        <v>810</v>
      </c>
      <c r="E23" s="119" t="s">
        <v>811</v>
      </c>
      <c r="F23" s="117" t="s">
        <v>197</v>
      </c>
      <c r="G23" s="117" t="s">
        <v>2030</v>
      </c>
      <c r="H23" s="117" t="s">
        <v>1029</v>
      </c>
      <c r="I23" s="117"/>
      <c r="J23" s="117"/>
      <c r="K23" s="117"/>
      <c r="L23" s="117"/>
      <c r="M23" s="117"/>
      <c r="N23" s="117"/>
      <c r="O23" s="120" t="s">
        <v>2031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33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180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182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0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0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/>
    <row r="12" spans="1:18" s="35" customFormat="1" ht="120.95" customHeight="1" outlineLevel="1"/>
    <row r="13" spans="1:18" ht="14.1" customHeight="1" outlineLevel="1"/>
    <row r="14" spans="1:18" ht="14.1" customHeight="1" outlineLevel="1"/>
    <row r="15" spans="1:18" s="21" customFormat="1" ht="15.75" customHeight="1"/>
    <row r="16" spans="1:18" ht="14.1" customHeight="1" outlineLevel="1"/>
    <row r="17" ht="14.1" customHeight="1" outlineLevel="1"/>
    <row r="18" s="21" customFormat="1" ht="15.75" customHeight="1"/>
    <row r="19" ht="14.1" customHeight="1" outlineLevel="1"/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34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R20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183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185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6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6</v>
      </c>
      <c r="C6" s="60">
        <f>COUNTIF($F$11:$F$2000,C$5)</f>
        <v>0</v>
      </c>
      <c r="D6" s="60">
        <f>COUNTIF($F$11:$F$2000,D$5)</f>
        <v>0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1743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78.95" customHeight="1" outlineLevel="1">
      <c r="A12" s="117" t="s">
        <v>2054</v>
      </c>
      <c r="B12" s="118" t="s">
        <v>1745</v>
      </c>
      <c r="C12" s="118" t="s">
        <v>2055</v>
      </c>
      <c r="D12" s="119" t="s">
        <v>681</v>
      </c>
      <c r="E12" s="119" t="s">
        <v>686</v>
      </c>
      <c r="F12" s="117" t="s">
        <v>197</v>
      </c>
      <c r="G12" s="117" t="s">
        <v>1581</v>
      </c>
      <c r="H12" s="117" t="s">
        <v>654</v>
      </c>
      <c r="I12" s="117"/>
      <c r="J12" s="117"/>
      <c r="K12" s="117"/>
      <c r="L12" s="117"/>
      <c r="M12" s="117"/>
      <c r="N12" s="117"/>
      <c r="O12" s="120" t="s">
        <v>2056</v>
      </c>
    </row>
    <row r="13" spans="1:18" ht="15.75" customHeight="1" outlineLevel="1">
      <c r="A13" s="114" t="s">
        <v>1747</v>
      </c>
      <c r="B13" s="114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1:18" ht="78.95" customHeight="1" outlineLevel="1">
      <c r="A14" s="117" t="s">
        <v>2057</v>
      </c>
      <c r="B14" s="118" t="s">
        <v>1749</v>
      </c>
      <c r="C14" s="118" t="s">
        <v>2058</v>
      </c>
      <c r="D14" s="119" t="s">
        <v>681</v>
      </c>
      <c r="E14" s="119" t="s">
        <v>670</v>
      </c>
      <c r="F14" s="117" t="s">
        <v>197</v>
      </c>
      <c r="G14" s="117" t="s">
        <v>1581</v>
      </c>
      <c r="H14" s="117" t="s">
        <v>654</v>
      </c>
      <c r="I14" s="117"/>
      <c r="J14" s="117"/>
      <c r="K14" s="117"/>
      <c r="L14" s="117"/>
      <c r="M14" s="117"/>
      <c r="N14" s="117"/>
      <c r="O14" s="120" t="s">
        <v>2056</v>
      </c>
    </row>
    <row r="15" spans="1:18" s="21" customFormat="1" ht="15.75" customHeight="1">
      <c r="A15" s="114" t="s">
        <v>2059</v>
      </c>
      <c r="B15" s="114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6"/>
    </row>
    <row r="16" spans="1:18" ht="93.95" customHeight="1" outlineLevel="1">
      <c r="A16" s="117" t="s">
        <v>2060</v>
      </c>
      <c r="B16" s="118" t="s">
        <v>2061</v>
      </c>
      <c r="C16" s="118" t="s">
        <v>2062</v>
      </c>
      <c r="D16" s="119" t="s">
        <v>238</v>
      </c>
      <c r="E16" s="119" t="s">
        <v>686</v>
      </c>
      <c r="F16" s="117" t="s">
        <v>197</v>
      </c>
      <c r="G16" s="117" t="s">
        <v>1581</v>
      </c>
      <c r="H16" s="117" t="s">
        <v>654</v>
      </c>
      <c r="I16" s="117"/>
      <c r="J16" s="117"/>
      <c r="K16" s="117"/>
      <c r="L16" s="117"/>
      <c r="M16" s="117"/>
      <c r="N16" s="117"/>
      <c r="O16" s="120" t="s">
        <v>2056</v>
      </c>
    </row>
    <row r="17" spans="1:15" ht="123.95" customHeight="1" outlineLevel="1">
      <c r="A17" s="117" t="s">
        <v>2063</v>
      </c>
      <c r="B17" s="118" t="s">
        <v>2064</v>
      </c>
      <c r="C17" s="118" t="s">
        <v>2065</v>
      </c>
      <c r="D17" s="119" t="s">
        <v>242</v>
      </c>
      <c r="E17" s="119" t="s">
        <v>686</v>
      </c>
      <c r="F17" s="117" t="s">
        <v>197</v>
      </c>
      <c r="G17" s="117" t="s">
        <v>1581</v>
      </c>
      <c r="H17" s="117" t="s">
        <v>654</v>
      </c>
      <c r="I17" s="117"/>
      <c r="J17" s="117"/>
      <c r="K17" s="117"/>
      <c r="L17" s="117"/>
      <c r="M17" s="117"/>
      <c r="N17" s="117"/>
      <c r="O17" s="120" t="s">
        <v>2056</v>
      </c>
    </row>
    <row r="18" spans="1:15" s="21" customFormat="1" ht="15.75" customHeight="1">
      <c r="A18" s="114" t="s">
        <v>293</v>
      </c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</row>
    <row r="19" spans="1:15" ht="78.95" customHeight="1" outlineLevel="1">
      <c r="A19" s="117" t="s">
        <v>2066</v>
      </c>
      <c r="B19" s="118" t="s">
        <v>803</v>
      </c>
      <c r="C19" s="118" t="s">
        <v>2067</v>
      </c>
      <c r="D19" s="119" t="s">
        <v>805</v>
      </c>
      <c r="E19" s="119" t="s">
        <v>806</v>
      </c>
      <c r="F19" s="117" t="s">
        <v>197</v>
      </c>
      <c r="G19" s="117" t="s">
        <v>1581</v>
      </c>
      <c r="H19" s="117" t="s">
        <v>654</v>
      </c>
      <c r="I19" s="117"/>
      <c r="J19" s="117"/>
      <c r="K19" s="117"/>
      <c r="L19" s="117"/>
      <c r="M19" s="117"/>
      <c r="N19" s="117"/>
      <c r="O19" s="120" t="s">
        <v>2056</v>
      </c>
    </row>
    <row r="20" spans="1:15" ht="108.95" customHeight="1">
      <c r="A20" s="117" t="s">
        <v>2068</v>
      </c>
      <c r="B20" s="118" t="s">
        <v>808</v>
      </c>
      <c r="C20" s="118" t="s">
        <v>2069</v>
      </c>
      <c r="D20" s="119" t="s">
        <v>810</v>
      </c>
      <c r="E20" s="119" t="s">
        <v>811</v>
      </c>
      <c r="F20" s="117" t="s">
        <v>197</v>
      </c>
      <c r="G20" s="117" t="s">
        <v>1581</v>
      </c>
      <c r="H20" s="117" t="s">
        <v>654</v>
      </c>
      <c r="I20" s="117"/>
      <c r="J20" s="117"/>
      <c r="K20" s="117"/>
      <c r="L20" s="117"/>
      <c r="M20" s="117"/>
      <c r="N20" s="117"/>
      <c r="O20" s="120" t="s">
        <v>2056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35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R27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186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188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11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8</v>
      </c>
      <c r="C6" s="60">
        <f>COUNTIF($F$11:$F$2000,C$5)</f>
        <v>0</v>
      </c>
      <c r="D6" s="60">
        <f>COUNTIF($F$11:$F$2000,D$5)</f>
        <v>3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2070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2071</v>
      </c>
      <c r="B12" s="118" t="s">
        <v>2072</v>
      </c>
      <c r="C12" s="118" t="s">
        <v>2073</v>
      </c>
      <c r="D12" s="119" t="s">
        <v>282</v>
      </c>
      <c r="E12" s="119" t="s">
        <v>686</v>
      </c>
      <c r="F12" s="117" t="s">
        <v>199</v>
      </c>
      <c r="G12" s="117"/>
      <c r="H12" s="117" t="s">
        <v>654</v>
      </c>
      <c r="I12" s="117"/>
      <c r="J12" s="117"/>
      <c r="K12" s="117"/>
      <c r="L12" s="117"/>
      <c r="M12" s="117"/>
      <c r="N12" s="117"/>
      <c r="O12" s="120" t="s">
        <v>816</v>
      </c>
    </row>
    <row r="13" spans="1:18" ht="138.94999999999999" customHeight="1" outlineLevel="1">
      <c r="A13" s="117" t="s">
        <v>2074</v>
      </c>
      <c r="B13" s="118" t="s">
        <v>2075</v>
      </c>
      <c r="C13" s="118" t="s">
        <v>2076</v>
      </c>
      <c r="D13" s="119" t="s">
        <v>242</v>
      </c>
      <c r="E13" s="119" t="s">
        <v>686</v>
      </c>
      <c r="F13" s="117" t="s">
        <v>199</v>
      </c>
      <c r="G13" s="117"/>
      <c r="H13" s="117" t="s">
        <v>654</v>
      </c>
      <c r="I13" s="117"/>
      <c r="J13" s="117"/>
      <c r="K13" s="117"/>
      <c r="L13" s="117"/>
      <c r="M13" s="117"/>
      <c r="N13" s="117"/>
      <c r="O13" s="120" t="s">
        <v>816</v>
      </c>
    </row>
    <row r="14" spans="1:18" ht="15.75" customHeight="1" outlineLevel="1">
      <c r="A14" s="114" t="s">
        <v>2077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93.95" customHeight="1">
      <c r="A15" s="117" t="s">
        <v>2078</v>
      </c>
      <c r="B15" s="118" t="s">
        <v>2079</v>
      </c>
      <c r="C15" s="118" t="s">
        <v>2080</v>
      </c>
      <c r="D15" s="119" t="s">
        <v>681</v>
      </c>
      <c r="E15" s="119" t="s">
        <v>686</v>
      </c>
      <c r="F15" s="117" t="s">
        <v>199</v>
      </c>
      <c r="G15" s="117"/>
      <c r="H15" s="117" t="s">
        <v>654</v>
      </c>
      <c r="I15" s="117"/>
      <c r="J15" s="117"/>
      <c r="K15" s="117"/>
      <c r="L15" s="117"/>
      <c r="M15" s="117"/>
      <c r="N15" s="117"/>
      <c r="O15" s="120" t="s">
        <v>816</v>
      </c>
    </row>
    <row r="16" spans="1:18" ht="15.75" customHeight="1" outlineLevel="1">
      <c r="A16" s="114" t="s">
        <v>2081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93.95" customHeight="1" outlineLevel="1">
      <c r="A17" s="117" t="s">
        <v>2082</v>
      </c>
      <c r="B17" s="118" t="s">
        <v>2083</v>
      </c>
      <c r="C17" s="118" t="s">
        <v>2084</v>
      </c>
      <c r="D17" s="119" t="s">
        <v>238</v>
      </c>
      <c r="E17" s="119" t="s">
        <v>686</v>
      </c>
      <c r="F17" s="117" t="s">
        <v>197</v>
      </c>
      <c r="G17" s="117" t="s">
        <v>6</v>
      </c>
      <c r="H17" s="117" t="s">
        <v>654</v>
      </c>
      <c r="I17" s="117"/>
      <c r="J17" s="117"/>
      <c r="K17" s="117"/>
      <c r="L17" s="117"/>
      <c r="M17" s="117"/>
      <c r="N17" s="117"/>
      <c r="O17" s="120" t="s">
        <v>2085</v>
      </c>
    </row>
    <row r="18" spans="1:15" s="21" customFormat="1" ht="138.94999999999999" customHeight="1">
      <c r="A18" s="117" t="s">
        <v>2086</v>
      </c>
      <c r="B18" s="118" t="s">
        <v>2087</v>
      </c>
      <c r="C18" s="118" t="s">
        <v>2088</v>
      </c>
      <c r="D18" s="119" t="s">
        <v>242</v>
      </c>
      <c r="E18" s="119" t="s">
        <v>686</v>
      </c>
      <c r="F18" s="117" t="s">
        <v>197</v>
      </c>
      <c r="G18" s="117" t="s">
        <v>6</v>
      </c>
      <c r="H18" s="117" t="s">
        <v>654</v>
      </c>
      <c r="I18" s="117"/>
      <c r="J18" s="117"/>
      <c r="K18" s="117"/>
      <c r="L18" s="117"/>
      <c r="M18" s="117"/>
      <c r="N18" s="117"/>
      <c r="O18" s="120" t="s">
        <v>2085</v>
      </c>
    </row>
    <row r="19" spans="1:15" ht="15.75" customHeight="1" outlineLevel="1">
      <c r="A19" s="114" t="s">
        <v>2089</v>
      </c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6"/>
    </row>
    <row r="20" spans="1:15" ht="78.95" customHeight="1">
      <c r="A20" s="117" t="s">
        <v>2090</v>
      </c>
      <c r="B20" s="118" t="s">
        <v>2091</v>
      </c>
      <c r="C20" s="118" t="s">
        <v>2092</v>
      </c>
      <c r="D20" s="119" t="s">
        <v>247</v>
      </c>
      <c r="E20" s="119" t="s">
        <v>670</v>
      </c>
      <c r="F20" s="117" t="s">
        <v>197</v>
      </c>
      <c r="G20" s="117" t="s">
        <v>6</v>
      </c>
      <c r="H20" s="117" t="s">
        <v>654</v>
      </c>
      <c r="I20" s="117"/>
      <c r="J20" s="117"/>
      <c r="K20" s="117"/>
      <c r="L20" s="117"/>
      <c r="M20" s="117"/>
      <c r="N20" s="117"/>
      <c r="O20" s="120" t="s">
        <v>2085</v>
      </c>
    </row>
    <row r="21" spans="1:15" ht="123.95" customHeight="1">
      <c r="A21" s="117" t="s">
        <v>2093</v>
      </c>
      <c r="B21" s="118" t="s">
        <v>2094</v>
      </c>
      <c r="C21" s="118" t="s">
        <v>2095</v>
      </c>
      <c r="D21" s="119" t="s">
        <v>242</v>
      </c>
      <c r="E21" s="119" t="s">
        <v>670</v>
      </c>
      <c r="F21" s="117" t="s">
        <v>197</v>
      </c>
      <c r="G21" s="117" t="s">
        <v>6</v>
      </c>
      <c r="H21" s="117" t="s">
        <v>654</v>
      </c>
      <c r="I21" s="117"/>
      <c r="J21" s="117"/>
      <c r="K21" s="117"/>
      <c r="L21" s="117"/>
      <c r="M21" s="117"/>
      <c r="N21" s="117"/>
      <c r="O21" s="120" t="s">
        <v>2085</v>
      </c>
    </row>
    <row r="22" spans="1:15" ht="15.75" customHeight="1">
      <c r="A22" s="114" t="s">
        <v>2059</v>
      </c>
      <c r="B22" s="114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6"/>
    </row>
    <row r="23" spans="1:15" ht="93.95" customHeight="1">
      <c r="A23" s="117" t="s">
        <v>2096</v>
      </c>
      <c r="B23" s="118" t="s">
        <v>2061</v>
      </c>
      <c r="C23" s="118" t="s">
        <v>2062</v>
      </c>
      <c r="D23" s="119" t="s">
        <v>238</v>
      </c>
      <c r="E23" s="119" t="s">
        <v>686</v>
      </c>
      <c r="F23" s="117" t="s">
        <v>197</v>
      </c>
      <c r="G23" s="117" t="s">
        <v>6</v>
      </c>
      <c r="H23" s="117" t="s">
        <v>654</v>
      </c>
      <c r="I23" s="117"/>
      <c r="J23" s="117"/>
      <c r="K23" s="117"/>
      <c r="L23" s="117"/>
      <c r="M23" s="117"/>
      <c r="N23" s="117"/>
      <c r="O23" s="120" t="s">
        <v>2085</v>
      </c>
    </row>
    <row r="24" spans="1:15" ht="123.95" customHeight="1">
      <c r="A24" s="117" t="s">
        <v>2097</v>
      </c>
      <c r="B24" s="118" t="s">
        <v>2064</v>
      </c>
      <c r="C24" s="118" t="s">
        <v>2065</v>
      </c>
      <c r="D24" s="119" t="s">
        <v>242</v>
      </c>
      <c r="E24" s="119" t="s">
        <v>686</v>
      </c>
      <c r="F24" s="117" t="s">
        <v>197</v>
      </c>
      <c r="G24" s="117" t="s">
        <v>6</v>
      </c>
      <c r="H24" s="117" t="s">
        <v>654</v>
      </c>
      <c r="I24" s="117"/>
      <c r="J24" s="117"/>
      <c r="K24" s="117"/>
      <c r="L24" s="117"/>
      <c r="M24" s="117"/>
      <c r="N24" s="117"/>
      <c r="O24" s="120" t="s">
        <v>2085</v>
      </c>
    </row>
    <row r="25" spans="1:15" ht="15.75" customHeight="1">
      <c r="A25" s="114" t="s">
        <v>293</v>
      </c>
      <c r="B25" s="114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6"/>
    </row>
    <row r="26" spans="1:15" ht="93.95" customHeight="1">
      <c r="A26" s="117" t="s">
        <v>2098</v>
      </c>
      <c r="B26" s="118" t="s">
        <v>803</v>
      </c>
      <c r="C26" s="118" t="s">
        <v>2099</v>
      </c>
      <c r="D26" s="119" t="s">
        <v>805</v>
      </c>
      <c r="E26" s="119" t="s">
        <v>806</v>
      </c>
      <c r="F26" s="117" t="s">
        <v>197</v>
      </c>
      <c r="G26" s="117" t="s">
        <v>6</v>
      </c>
      <c r="H26" s="117" t="s">
        <v>654</v>
      </c>
      <c r="I26" s="117"/>
      <c r="J26" s="117"/>
      <c r="K26" s="117"/>
      <c r="L26" s="117"/>
      <c r="M26" s="117"/>
      <c r="N26" s="117"/>
      <c r="O26" s="120" t="s">
        <v>2085</v>
      </c>
    </row>
    <row r="27" spans="1:15" ht="108.95" customHeight="1">
      <c r="A27" s="117" t="s">
        <v>2100</v>
      </c>
      <c r="B27" s="118" t="s">
        <v>808</v>
      </c>
      <c r="C27" s="118" t="s">
        <v>2101</v>
      </c>
      <c r="D27" s="119" t="s">
        <v>810</v>
      </c>
      <c r="E27" s="119" t="s">
        <v>811</v>
      </c>
      <c r="F27" s="117" t="s">
        <v>197</v>
      </c>
      <c r="G27" s="117" t="s">
        <v>6</v>
      </c>
      <c r="H27" s="117" t="s">
        <v>654</v>
      </c>
      <c r="I27" s="117"/>
      <c r="J27" s="117"/>
      <c r="K27" s="117"/>
      <c r="L27" s="117"/>
      <c r="M27" s="117"/>
      <c r="N27" s="117"/>
      <c r="O27" s="120" t="s">
        <v>2085</v>
      </c>
    </row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36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37" t="s">
        <v>189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34" t="s">
        <v>191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COUNTIF(A11:A2000,"*-TC*")</f>
        <v>5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COUNTIF($F$11:$F$2000,B$5)</f>
        <v>0</v>
      </c>
      <c r="C6" s="60">
        <f>COUNTIF($F$11:$F$2000,C$5)</f>
        <v>0</v>
      </c>
      <c r="D6" s="60">
        <f>COUNTIF($F$11:$F$2000,D$5)</f>
        <v>5</v>
      </c>
      <c r="E6" s="66">
        <f>COUNTIF($F$11:$F$2000,E$5)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COUNTIF($I$11:$I$2000,B$5)</f>
        <v>0</v>
      </c>
      <c r="C7" s="60">
        <f>COUNTIF($I$11:$I$2000,C$5)</f>
        <v>0</v>
      </c>
      <c r="D7" s="60">
        <f>COUNTIF($I$11:$I$2000,D$5)</f>
        <v>0</v>
      </c>
      <c r="E7" s="66">
        <f>COUNTIF($I$11:$I$2000,E$5)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COUNTIF($L$11:$L$2000,B$5)</f>
        <v>0</v>
      </c>
      <c r="C8" s="64">
        <f>COUNTIF($L$11:$L$2000,C$5)</f>
        <v>0</v>
      </c>
      <c r="D8" s="64">
        <f>COUNTIF($L$11:$L$2000,D$5)</f>
        <v>0</v>
      </c>
      <c r="E8" s="65">
        <f>COUNTIF($L$11:$L$2000,E$5)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114" t="s">
        <v>2102</v>
      </c>
      <c r="B11" s="114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</row>
    <row r="12" spans="1:18" s="35" customFormat="1" ht="93.95" customHeight="1" outlineLevel="1">
      <c r="A12" s="117" t="s">
        <v>2103</v>
      </c>
      <c r="B12" s="118" t="s">
        <v>2104</v>
      </c>
      <c r="C12" s="118" t="s">
        <v>2105</v>
      </c>
      <c r="D12" s="119" t="s">
        <v>238</v>
      </c>
      <c r="E12" s="119" t="s">
        <v>966</v>
      </c>
      <c r="F12" s="117" t="s">
        <v>199</v>
      </c>
      <c r="G12" s="117"/>
      <c r="H12" s="117" t="s">
        <v>654</v>
      </c>
      <c r="I12" s="117"/>
      <c r="J12" s="117"/>
      <c r="K12" s="117"/>
      <c r="L12" s="117"/>
      <c r="M12" s="117"/>
      <c r="N12" s="117"/>
      <c r="O12" s="120" t="s">
        <v>816</v>
      </c>
    </row>
    <row r="13" spans="1:18" ht="138.94999999999999" customHeight="1" outlineLevel="1">
      <c r="A13" s="117" t="s">
        <v>2106</v>
      </c>
      <c r="B13" s="118" t="s">
        <v>2107</v>
      </c>
      <c r="C13" s="118" t="s">
        <v>2108</v>
      </c>
      <c r="D13" s="119" t="s">
        <v>242</v>
      </c>
      <c r="E13" s="119" t="s">
        <v>966</v>
      </c>
      <c r="F13" s="117" t="s">
        <v>199</v>
      </c>
      <c r="G13" s="117"/>
      <c r="H13" s="117" t="s">
        <v>654</v>
      </c>
      <c r="I13" s="117"/>
      <c r="J13" s="117"/>
      <c r="K13" s="117"/>
      <c r="L13" s="117"/>
      <c r="M13" s="117"/>
      <c r="N13" s="117"/>
      <c r="O13" s="120" t="s">
        <v>816</v>
      </c>
    </row>
    <row r="14" spans="1:18" ht="15.75" customHeight="1" outlineLevel="1">
      <c r="A14" s="114" t="s">
        <v>2109</v>
      </c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</row>
    <row r="15" spans="1:18" s="21" customFormat="1" ht="93.95" customHeight="1">
      <c r="A15" s="117" t="s">
        <v>2110</v>
      </c>
      <c r="B15" s="118" t="s">
        <v>2111</v>
      </c>
      <c r="C15" s="118" t="s">
        <v>2112</v>
      </c>
      <c r="D15" s="119" t="s">
        <v>681</v>
      </c>
      <c r="E15" s="119" t="s">
        <v>966</v>
      </c>
      <c r="F15" s="117" t="s">
        <v>199</v>
      </c>
      <c r="G15" s="117"/>
      <c r="H15" s="117" t="s">
        <v>654</v>
      </c>
      <c r="I15" s="117"/>
      <c r="J15" s="117"/>
      <c r="K15" s="117"/>
      <c r="L15" s="117"/>
      <c r="M15" s="117"/>
      <c r="N15" s="117"/>
      <c r="O15" s="120" t="s">
        <v>816</v>
      </c>
    </row>
    <row r="16" spans="1:18" ht="15.75" customHeight="1" outlineLevel="1">
      <c r="A16" s="114" t="s">
        <v>293</v>
      </c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6"/>
    </row>
    <row r="17" spans="1:15" ht="93.95" customHeight="1" outlineLevel="1">
      <c r="A17" s="117" t="s">
        <v>2113</v>
      </c>
      <c r="B17" s="118" t="s">
        <v>803</v>
      </c>
      <c r="C17" s="118" t="s">
        <v>2114</v>
      </c>
      <c r="D17" s="119" t="s">
        <v>805</v>
      </c>
      <c r="E17" s="119" t="s">
        <v>806</v>
      </c>
      <c r="F17" s="117" t="s">
        <v>199</v>
      </c>
      <c r="G17" s="117"/>
      <c r="H17" s="117" t="s">
        <v>654</v>
      </c>
      <c r="I17" s="117"/>
      <c r="J17" s="117"/>
      <c r="K17" s="117"/>
      <c r="L17" s="117"/>
      <c r="M17" s="117"/>
      <c r="N17" s="117"/>
      <c r="O17" s="120" t="s">
        <v>534</v>
      </c>
    </row>
    <row r="18" spans="1:15" s="21" customFormat="1" ht="108.95" customHeight="1">
      <c r="A18" s="117" t="s">
        <v>2115</v>
      </c>
      <c r="B18" s="118" t="s">
        <v>808</v>
      </c>
      <c r="C18" s="118" t="s">
        <v>2116</v>
      </c>
      <c r="D18" s="119" t="s">
        <v>810</v>
      </c>
      <c r="E18" s="119" t="s">
        <v>811</v>
      </c>
      <c r="F18" s="117" t="s">
        <v>199</v>
      </c>
      <c r="G18" s="117"/>
      <c r="H18" s="117" t="s">
        <v>654</v>
      </c>
      <c r="I18" s="117"/>
      <c r="J18" s="117"/>
      <c r="K18" s="117"/>
      <c r="L18" s="117"/>
      <c r="M18" s="117"/>
      <c r="N18" s="117"/>
      <c r="O18" s="120" t="s">
        <v>534</v>
      </c>
    </row>
    <row r="19" spans="1:15" ht="14.1" customHeight="1" outlineLevel="1"/>
  </sheetData>
  <mergeCells count="3">
    <mergeCell ref="B3:E3"/>
    <mergeCell ref="B2:E2"/>
    <mergeCell ref="B4:E4"/>
  </mergeCells>
  <dataValidations count="1">
    <dataValidation type="list" allowBlank="1" sqref="F11:F2000 I11:I2000 L11:L2000" xr:uid="{00000000-0002-0000-37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R19"/>
  <sheetViews>
    <sheetView workbookViewId="0"/>
  </sheetViews>
  <sheetFormatPr defaultColWidth="9" defaultRowHeight="12.75" outlineLevelRow="1" outlineLevelCol="1"/>
  <cols>
    <col min="1" max="1" width="17" style="1" customWidth="1"/>
    <col min="2" max="2" width="34.5" style="1" customWidth="1"/>
    <col min="3" max="3" width="34.125" style="1" customWidth="1"/>
    <col min="4" max="4" width="34.625" style="1" customWidth="1"/>
    <col min="5" max="5" width="28.375" style="1" customWidth="1"/>
    <col min="6" max="6" width="9.375" style="1" customWidth="1"/>
    <col min="7" max="7" width="10.625" style="1" customWidth="1" outlineLevel="1"/>
    <col min="8" max="8" width="7" style="1" bestFit="1" customWidth="1" outlineLevel="1"/>
    <col min="9" max="9" width="9.375" style="1" customWidth="1"/>
    <col min="10" max="10" width="10.625" style="1" customWidth="1" outlineLevel="1"/>
    <col min="11" max="11" width="7" style="1" bestFit="1" customWidth="1" outlineLevel="1"/>
    <col min="12" max="12" width="9.375" style="1" customWidth="1"/>
    <col min="13" max="13" width="10.625" style="1" customWidth="1" outlineLevel="1"/>
    <col min="14" max="14" width="7" style="1" bestFit="1" customWidth="1" outlineLevel="1"/>
    <col min="15" max="15" width="28.625" style="1" customWidth="1"/>
    <col min="16" max="16" width="10.125" style="1" customWidth="1"/>
    <col min="17" max="17" width="8.125" style="19" customWidth="1"/>
    <col min="18" max="18" width="7.625" style="1" hidden="1" customWidth="1"/>
    <col min="19" max="19" width="9" style="1" customWidth="1"/>
    <col min="20" max="16384" width="9" style="1"/>
  </cols>
  <sheetData>
    <row r="1" spans="1:18" ht="14.1" customHeight="1" thickBot="1"/>
    <row r="2" spans="1:18" s="21" customFormat="1" ht="15" customHeight="1">
      <c r="A2" s="67" t="s">
        <v>206</v>
      </c>
      <c r="B2" s="141" t="s">
        <v>2117</v>
      </c>
      <c r="C2" s="138"/>
      <c r="D2" s="138"/>
      <c r="E2" s="139"/>
      <c r="F2" s="57"/>
      <c r="G2" s="51"/>
      <c r="H2" s="9"/>
      <c r="I2" s="57"/>
      <c r="J2" s="51"/>
      <c r="K2" s="9"/>
      <c r="L2" s="57"/>
      <c r="M2" s="51"/>
      <c r="N2" s="9"/>
      <c r="O2" s="9"/>
      <c r="P2" s="9"/>
      <c r="Q2" s="20"/>
      <c r="R2" s="21" t="s">
        <v>197</v>
      </c>
    </row>
    <row r="3" spans="1:18" s="21" customFormat="1" ht="14.1" customHeight="1">
      <c r="A3" s="68" t="s">
        <v>207</v>
      </c>
      <c r="B3" s="140" t="s">
        <v>2118</v>
      </c>
      <c r="C3" s="135"/>
      <c r="D3" s="135"/>
      <c r="E3" s="136"/>
      <c r="F3" s="57"/>
      <c r="G3" s="51"/>
      <c r="H3" s="9"/>
      <c r="I3" s="57"/>
      <c r="J3" s="51"/>
      <c r="K3" s="9"/>
      <c r="L3" s="57"/>
      <c r="M3" s="51"/>
      <c r="N3" s="9"/>
      <c r="O3" s="9"/>
      <c r="P3" s="9"/>
      <c r="Q3" s="20"/>
      <c r="R3" s="21" t="s">
        <v>198</v>
      </c>
    </row>
    <row r="4" spans="1:18" s="21" customFormat="1" ht="18" customHeight="1">
      <c r="A4" s="68" t="s">
        <v>208</v>
      </c>
      <c r="B4" s="140">
        <f>COUNTA(A12:A1000)</f>
        <v>8</v>
      </c>
      <c r="C4" s="135"/>
      <c r="D4" s="135"/>
      <c r="E4" s="136"/>
      <c r="F4" s="57"/>
      <c r="G4" s="51"/>
      <c r="H4" s="9"/>
      <c r="I4" s="57"/>
      <c r="J4" s="51"/>
      <c r="K4" s="9"/>
      <c r="L4" s="57"/>
      <c r="M4" s="51"/>
      <c r="N4" s="9"/>
      <c r="O4" s="9"/>
      <c r="P4" s="9"/>
      <c r="Q4" s="20"/>
      <c r="R4" s="21" t="s">
        <v>199</v>
      </c>
    </row>
    <row r="5" spans="1:18" s="21" customFormat="1" ht="19.5" customHeight="1">
      <c r="A5" s="61" t="s">
        <v>209</v>
      </c>
      <c r="B5" s="59" t="s">
        <v>197</v>
      </c>
      <c r="C5" s="59" t="s">
        <v>198</v>
      </c>
      <c r="D5" s="59" t="s">
        <v>199</v>
      </c>
      <c r="E5" s="62" t="s">
        <v>200</v>
      </c>
      <c r="F5" s="52"/>
      <c r="G5" s="52"/>
      <c r="H5" s="22"/>
      <c r="I5" s="52"/>
      <c r="J5" s="52"/>
      <c r="K5" s="22"/>
      <c r="L5" s="52"/>
      <c r="M5" s="52"/>
      <c r="N5" s="22"/>
      <c r="O5" s="22"/>
      <c r="P5" s="22"/>
      <c r="Q5" s="23"/>
      <c r="R5" s="21" t="s">
        <v>200</v>
      </c>
    </row>
    <row r="6" spans="1:18" s="21" customFormat="1" ht="15" customHeight="1">
      <c r="A6" s="61" t="s">
        <v>210</v>
      </c>
      <c r="B6" s="60">
        <f>COUNTIF($F10:$F998,B5)</f>
        <v>0</v>
      </c>
      <c r="C6" s="60">
        <f>COUNTIF($F10:$F998,C5)</f>
        <v>0</v>
      </c>
      <c r="D6" s="60">
        <f>COUNTIF($F10:$F998,D5)</f>
        <v>6</v>
      </c>
      <c r="E6" s="66">
        <f>COUNTIF($F10:$F998,E5)</f>
        <v>0</v>
      </c>
      <c r="F6" s="53"/>
      <c r="G6" s="53"/>
      <c r="H6" s="22"/>
      <c r="I6" s="53"/>
      <c r="J6" s="53"/>
      <c r="K6" s="22"/>
      <c r="L6" s="53"/>
      <c r="M6" s="53"/>
      <c r="N6" s="22"/>
      <c r="O6" s="22"/>
      <c r="P6" s="22"/>
      <c r="Q6" s="23"/>
    </row>
    <row r="7" spans="1:18" s="21" customFormat="1" ht="15" customHeight="1">
      <c r="A7" s="61" t="s">
        <v>211</v>
      </c>
      <c r="B7" s="60">
        <f>COUNTIF($F10:$F998,B5)</f>
        <v>0</v>
      </c>
      <c r="C7" s="60">
        <f>COUNTIF($F10:$F998,C5)</f>
        <v>0</v>
      </c>
      <c r="D7" s="60">
        <f>COUNTIF($F10:$F998,D5)</f>
        <v>6</v>
      </c>
      <c r="E7" s="66">
        <f>COUNTIF($F10:$F998,E5)</f>
        <v>0</v>
      </c>
      <c r="F7" s="53"/>
      <c r="G7" s="53"/>
      <c r="H7" s="22"/>
      <c r="I7" s="53"/>
      <c r="J7" s="53"/>
      <c r="K7" s="22"/>
      <c r="L7" s="53"/>
      <c r="M7" s="53"/>
      <c r="N7" s="22"/>
      <c r="O7" s="22"/>
      <c r="P7" s="22"/>
      <c r="Q7" s="23"/>
    </row>
    <row r="8" spans="1:18" s="21" customFormat="1" ht="15" customHeight="1" thickBot="1">
      <c r="A8" s="63" t="s">
        <v>212</v>
      </c>
      <c r="B8" s="64">
        <f>COUNTIF($F10:$F998,B5)</f>
        <v>0</v>
      </c>
      <c r="C8" s="64">
        <f>COUNTIF($F10:$F998,C5)</f>
        <v>0</v>
      </c>
      <c r="D8" s="64">
        <f>COUNTIF($F10:$F998,D5)</f>
        <v>6</v>
      </c>
      <c r="E8" s="65">
        <f>COUNTIF($F10:$F998,E5)</f>
        <v>0</v>
      </c>
      <c r="F8" s="53"/>
      <c r="G8" s="53"/>
      <c r="H8" s="22"/>
      <c r="I8" s="53"/>
      <c r="J8" s="53"/>
      <c r="K8" s="22"/>
      <c r="L8" s="53"/>
      <c r="M8" s="53"/>
      <c r="N8" s="22"/>
      <c r="O8" s="22"/>
      <c r="P8" s="22"/>
      <c r="Q8" s="23"/>
    </row>
    <row r="9" spans="1:18" s="21" customFormat="1" ht="15" customHeight="1">
      <c r="A9" s="22"/>
      <c r="B9" s="22"/>
      <c r="C9" s="22"/>
      <c r="D9" s="22"/>
      <c r="E9" s="22"/>
      <c r="F9" s="24"/>
      <c r="G9" s="22"/>
      <c r="H9" s="22"/>
      <c r="I9" s="24"/>
      <c r="J9" s="22"/>
      <c r="K9" s="22"/>
      <c r="L9" s="24"/>
      <c r="M9" s="22"/>
      <c r="N9" s="22"/>
      <c r="O9" s="22"/>
      <c r="P9" s="22"/>
      <c r="Q9" s="23"/>
    </row>
    <row r="10" spans="1:18" s="21" customFormat="1" ht="25.5" customHeight="1">
      <c r="A10" s="58" t="s">
        <v>213</v>
      </c>
      <c r="B10" s="58" t="s">
        <v>214</v>
      </c>
      <c r="C10" s="58" t="s">
        <v>215</v>
      </c>
      <c r="D10" s="58" t="s">
        <v>216</v>
      </c>
      <c r="E10" s="58" t="s">
        <v>217</v>
      </c>
      <c r="F10" s="58" t="s">
        <v>210</v>
      </c>
      <c r="G10" s="58" t="s">
        <v>218</v>
      </c>
      <c r="H10" s="58" t="s">
        <v>219</v>
      </c>
      <c r="I10" s="58" t="s">
        <v>211</v>
      </c>
      <c r="J10" s="58" t="s">
        <v>218</v>
      </c>
      <c r="K10" s="58" t="s">
        <v>219</v>
      </c>
      <c r="L10" s="58" t="s">
        <v>212</v>
      </c>
      <c r="M10" s="58" t="s">
        <v>218</v>
      </c>
      <c r="N10" s="58" t="s">
        <v>219</v>
      </c>
      <c r="O10" s="58" t="s">
        <v>220</v>
      </c>
      <c r="Q10" s="25"/>
    </row>
    <row r="11" spans="1:18" s="21" customFormat="1" ht="15.75" customHeight="1">
      <c r="A11" s="54" t="s">
        <v>2119</v>
      </c>
      <c r="B11" s="54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6"/>
      <c r="Q11" s="29"/>
    </row>
    <row r="12" spans="1:18" s="35" customFormat="1" ht="120.95" customHeight="1" outlineLevel="1">
      <c r="A12" s="30" t="s">
        <v>2120</v>
      </c>
      <c r="B12" s="31" t="s">
        <v>2121</v>
      </c>
      <c r="C12" s="31" t="s">
        <v>2122</v>
      </c>
      <c r="D12" s="32" t="s">
        <v>2123</v>
      </c>
      <c r="E12" s="32" t="s">
        <v>2124</v>
      </c>
      <c r="F12" s="30" t="s">
        <v>199</v>
      </c>
      <c r="G12" s="30"/>
      <c r="H12" s="30"/>
      <c r="I12" s="30" t="s">
        <v>199</v>
      </c>
      <c r="J12" s="30"/>
      <c r="K12" s="30"/>
      <c r="L12" s="30" t="s">
        <v>199</v>
      </c>
      <c r="M12" s="30"/>
      <c r="N12" s="30"/>
      <c r="O12" s="33"/>
      <c r="Q12" s="34"/>
    </row>
    <row r="13" spans="1:18" ht="14.1" customHeight="1" outlineLevel="1">
      <c r="A13" s="30" t="s">
        <v>2125</v>
      </c>
      <c r="B13" s="30" t="s">
        <v>2126</v>
      </c>
      <c r="C13" s="30"/>
      <c r="D13" s="36"/>
      <c r="E13" s="36"/>
      <c r="F13" s="30" t="s">
        <v>199</v>
      </c>
      <c r="G13" s="30"/>
      <c r="H13" s="30"/>
      <c r="I13" s="30" t="s">
        <v>199</v>
      </c>
      <c r="J13" s="30"/>
      <c r="K13" s="30"/>
      <c r="L13" s="30" t="s">
        <v>199</v>
      </c>
      <c r="M13" s="30"/>
      <c r="N13" s="30"/>
      <c r="O13" s="33"/>
      <c r="Q13" s="34"/>
    </row>
    <row r="14" spans="1:18" ht="14.1" customHeight="1" outlineLevel="1">
      <c r="A14" s="30" t="s">
        <v>2127</v>
      </c>
      <c r="B14" s="30" t="s">
        <v>2128</v>
      </c>
      <c r="C14" s="30"/>
      <c r="D14" s="36"/>
      <c r="E14" s="36"/>
      <c r="F14" s="30" t="s">
        <v>199</v>
      </c>
      <c r="G14" s="30"/>
      <c r="H14" s="30"/>
      <c r="I14" s="30" t="s">
        <v>199</v>
      </c>
      <c r="J14" s="30"/>
      <c r="K14" s="30"/>
      <c r="L14" s="30" t="s">
        <v>199</v>
      </c>
      <c r="M14" s="30"/>
      <c r="N14" s="30"/>
      <c r="O14" s="33"/>
      <c r="Q14" s="34"/>
    </row>
    <row r="15" spans="1:18" s="21" customFormat="1" ht="15.75" customHeight="1">
      <c r="A15" s="54" t="s">
        <v>2129</v>
      </c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8"/>
      <c r="Q15" s="29"/>
    </row>
    <row r="16" spans="1:18" ht="14.1" customHeight="1" outlineLevel="1">
      <c r="A16" s="30" t="s">
        <v>2130</v>
      </c>
      <c r="B16" s="30" t="s">
        <v>2131</v>
      </c>
      <c r="C16" s="30"/>
      <c r="D16" s="30"/>
      <c r="E16" s="30"/>
      <c r="F16" s="30" t="s">
        <v>199</v>
      </c>
      <c r="G16" s="30"/>
      <c r="H16" s="30"/>
      <c r="I16" s="30" t="s">
        <v>199</v>
      </c>
      <c r="J16" s="30"/>
      <c r="K16" s="30"/>
      <c r="L16" s="30" t="s">
        <v>199</v>
      </c>
      <c r="M16" s="30"/>
      <c r="N16" s="30"/>
      <c r="O16" s="33"/>
      <c r="Q16" s="34"/>
    </row>
    <row r="17" spans="1:17" ht="14.1" customHeight="1" outlineLevel="1">
      <c r="A17" s="30" t="s">
        <v>2132</v>
      </c>
      <c r="B17" s="30" t="s">
        <v>2133</v>
      </c>
      <c r="C17" s="30"/>
      <c r="D17" s="30"/>
      <c r="E17" s="30"/>
      <c r="F17" s="30" t="s">
        <v>199</v>
      </c>
      <c r="G17" s="37"/>
      <c r="H17" s="37"/>
      <c r="I17" s="30" t="s">
        <v>199</v>
      </c>
      <c r="J17" s="37"/>
      <c r="K17" s="37"/>
      <c r="L17" s="30" t="s">
        <v>199</v>
      </c>
      <c r="M17" s="37"/>
      <c r="N17" s="37"/>
      <c r="O17" s="37"/>
    </row>
    <row r="18" spans="1:17" s="21" customFormat="1" ht="15.75" customHeight="1">
      <c r="A18" s="54" t="s">
        <v>2134</v>
      </c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/>
      <c r="Q18" s="29"/>
    </row>
    <row r="19" spans="1:17" ht="14.1" customHeight="1" outlineLevel="1">
      <c r="A19" s="30" t="s">
        <v>2135</v>
      </c>
      <c r="B19" s="30" t="s">
        <v>2136</v>
      </c>
      <c r="C19" s="30"/>
      <c r="D19" s="30"/>
      <c r="E19" s="30"/>
      <c r="F19" s="30" t="s">
        <v>199</v>
      </c>
      <c r="G19" s="30"/>
      <c r="H19" s="30"/>
      <c r="I19" s="30" t="s">
        <v>199</v>
      </c>
      <c r="J19" s="30"/>
      <c r="K19" s="30"/>
      <c r="L19" s="30" t="s">
        <v>199</v>
      </c>
      <c r="M19" s="30"/>
      <c r="N19" s="30"/>
      <c r="O19" s="33"/>
      <c r="Q19" s="34"/>
    </row>
  </sheetData>
  <mergeCells count="3">
    <mergeCell ref="B3:E3"/>
    <mergeCell ref="B2:E2"/>
    <mergeCell ref="B4:E4"/>
  </mergeCell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54"/>
  <sheetViews>
    <sheetView workbookViewId="0"/>
  </sheetViews>
  <sheetFormatPr defaultRowHeight="13.5"/>
  <sheetData>
    <row r="1" spans="1:9">
      <c r="A1" t="s">
        <v>2137</v>
      </c>
      <c r="B1" t="s">
        <v>2138</v>
      </c>
      <c r="C1" t="s">
        <v>2139</v>
      </c>
      <c r="D1" t="s">
        <v>2140</v>
      </c>
      <c r="E1" t="s">
        <v>2141</v>
      </c>
      <c r="F1" t="s">
        <v>2142</v>
      </c>
      <c r="G1" t="s">
        <v>2143</v>
      </c>
      <c r="H1" t="s">
        <v>210</v>
      </c>
      <c r="I1" t="s">
        <v>2144</v>
      </c>
    </row>
    <row r="2" spans="1:9">
      <c r="A2" t="s">
        <v>29</v>
      </c>
      <c r="B2" t="s">
        <v>227</v>
      </c>
      <c r="C2">
        <v>23</v>
      </c>
      <c r="D2">
        <v>0</v>
      </c>
      <c r="E2">
        <v>19</v>
      </c>
      <c r="F2">
        <v>19</v>
      </c>
      <c r="G2">
        <v>42</v>
      </c>
      <c r="H2" t="s">
        <v>198</v>
      </c>
      <c r="I2" t="s">
        <v>2145</v>
      </c>
    </row>
    <row r="3" spans="1:9">
      <c r="A3" t="s">
        <v>33</v>
      </c>
      <c r="B3" t="s">
        <v>227</v>
      </c>
      <c r="C3">
        <v>4</v>
      </c>
      <c r="D3">
        <v>0</v>
      </c>
      <c r="E3">
        <v>16</v>
      </c>
      <c r="F3">
        <v>16</v>
      </c>
      <c r="G3">
        <v>20</v>
      </c>
      <c r="H3" t="s">
        <v>197</v>
      </c>
      <c r="I3" t="s">
        <v>2145</v>
      </c>
    </row>
    <row r="4" spans="1:9">
      <c r="A4" t="s">
        <v>36</v>
      </c>
      <c r="B4" t="s">
        <v>227</v>
      </c>
      <c r="C4">
        <v>4</v>
      </c>
      <c r="D4">
        <v>0</v>
      </c>
      <c r="E4">
        <v>20</v>
      </c>
      <c r="F4">
        <v>20</v>
      </c>
      <c r="G4">
        <v>24</v>
      </c>
      <c r="H4" t="s">
        <v>198</v>
      </c>
      <c r="I4" t="s">
        <v>2145</v>
      </c>
    </row>
    <row r="5" spans="1:9">
      <c r="A5" t="s">
        <v>39</v>
      </c>
      <c r="B5" t="s">
        <v>227</v>
      </c>
      <c r="C5">
        <v>3</v>
      </c>
      <c r="D5">
        <v>0</v>
      </c>
      <c r="E5">
        <v>6</v>
      </c>
      <c r="F5">
        <v>6</v>
      </c>
      <c r="G5">
        <v>9</v>
      </c>
      <c r="H5" t="s">
        <v>198</v>
      </c>
      <c r="I5" t="s">
        <v>2145</v>
      </c>
    </row>
    <row r="6" spans="1:9">
      <c r="A6" t="s">
        <v>42</v>
      </c>
      <c r="B6" t="s">
        <v>227</v>
      </c>
      <c r="C6">
        <v>3</v>
      </c>
      <c r="D6">
        <v>0</v>
      </c>
      <c r="E6">
        <v>23</v>
      </c>
      <c r="F6">
        <v>23</v>
      </c>
      <c r="G6">
        <v>26</v>
      </c>
      <c r="H6" t="s">
        <v>197</v>
      </c>
      <c r="I6" t="s">
        <v>2145</v>
      </c>
    </row>
    <row r="7" spans="1:9">
      <c r="A7" t="s">
        <v>45</v>
      </c>
      <c r="B7" t="s">
        <v>227</v>
      </c>
      <c r="C7">
        <v>3</v>
      </c>
      <c r="D7">
        <v>0</v>
      </c>
      <c r="E7">
        <v>8</v>
      </c>
      <c r="F7">
        <v>8</v>
      </c>
      <c r="G7">
        <v>11</v>
      </c>
      <c r="H7" t="s">
        <v>199</v>
      </c>
      <c r="I7" t="s">
        <v>2145</v>
      </c>
    </row>
    <row r="8" spans="1:9">
      <c r="A8" t="s">
        <v>48</v>
      </c>
      <c r="B8" t="s">
        <v>227</v>
      </c>
      <c r="C8">
        <v>2</v>
      </c>
      <c r="D8">
        <v>0</v>
      </c>
      <c r="E8">
        <v>27</v>
      </c>
      <c r="F8">
        <v>27</v>
      </c>
      <c r="G8">
        <v>29</v>
      </c>
      <c r="H8" t="s">
        <v>198</v>
      </c>
      <c r="I8" t="s">
        <v>2145</v>
      </c>
    </row>
    <row r="9" spans="1:9">
      <c r="A9" t="s">
        <v>51</v>
      </c>
      <c r="B9" t="s">
        <v>654</v>
      </c>
      <c r="C9">
        <v>3</v>
      </c>
      <c r="D9">
        <v>0</v>
      </c>
      <c r="E9">
        <v>5</v>
      </c>
      <c r="F9">
        <v>5</v>
      </c>
      <c r="G9">
        <v>8</v>
      </c>
      <c r="H9" t="s">
        <v>199</v>
      </c>
      <c r="I9" t="s">
        <v>2145</v>
      </c>
    </row>
    <row r="10" spans="1:9">
      <c r="A10" t="s">
        <v>54</v>
      </c>
      <c r="B10" t="s">
        <v>672</v>
      </c>
      <c r="C10">
        <v>18</v>
      </c>
      <c r="D10">
        <v>0</v>
      </c>
      <c r="E10">
        <v>38</v>
      </c>
      <c r="F10">
        <v>38</v>
      </c>
      <c r="G10">
        <v>56</v>
      </c>
      <c r="H10" t="s">
        <v>197</v>
      </c>
      <c r="I10" t="s">
        <v>2145</v>
      </c>
    </row>
    <row r="11" spans="1:9">
      <c r="A11" t="s">
        <v>58</v>
      </c>
      <c r="B11" t="s">
        <v>672</v>
      </c>
      <c r="C11">
        <v>2</v>
      </c>
      <c r="D11">
        <v>0</v>
      </c>
      <c r="E11">
        <v>5</v>
      </c>
      <c r="F11">
        <v>5</v>
      </c>
      <c r="G11">
        <v>7</v>
      </c>
      <c r="H11" t="s">
        <v>199</v>
      </c>
      <c r="I11" t="s">
        <v>2145</v>
      </c>
    </row>
    <row r="12" spans="1:9">
      <c r="A12" t="s">
        <v>61</v>
      </c>
      <c r="B12" t="s">
        <v>672</v>
      </c>
      <c r="C12">
        <v>3</v>
      </c>
      <c r="D12">
        <v>0</v>
      </c>
      <c r="E12">
        <v>0</v>
      </c>
      <c r="F12">
        <v>0</v>
      </c>
      <c r="G12">
        <v>3</v>
      </c>
      <c r="H12" t="s">
        <v>199</v>
      </c>
      <c r="I12" t="s">
        <v>2145</v>
      </c>
    </row>
    <row r="13" spans="1:9">
      <c r="A13" t="s">
        <v>64</v>
      </c>
      <c r="B13" t="s">
        <v>672</v>
      </c>
      <c r="C13">
        <v>2</v>
      </c>
      <c r="D13">
        <v>0</v>
      </c>
      <c r="E13">
        <v>5</v>
      </c>
      <c r="F13">
        <v>5</v>
      </c>
      <c r="G13">
        <v>7</v>
      </c>
      <c r="H13" t="s">
        <v>197</v>
      </c>
      <c r="I13" t="s">
        <v>2145</v>
      </c>
    </row>
    <row r="14" spans="1:9">
      <c r="A14" t="s">
        <v>68</v>
      </c>
      <c r="B14" t="s">
        <v>672</v>
      </c>
      <c r="C14">
        <v>2</v>
      </c>
      <c r="D14">
        <v>0</v>
      </c>
      <c r="E14">
        <v>7</v>
      </c>
      <c r="F14">
        <v>7</v>
      </c>
      <c r="G14">
        <v>9</v>
      </c>
      <c r="H14" t="s">
        <v>197</v>
      </c>
      <c r="I14" t="s">
        <v>2145</v>
      </c>
    </row>
    <row r="15" spans="1:9">
      <c r="A15" t="s">
        <v>71</v>
      </c>
      <c r="B15" t="s">
        <v>227</v>
      </c>
      <c r="C15">
        <v>4</v>
      </c>
      <c r="D15">
        <v>0</v>
      </c>
      <c r="E15">
        <v>4</v>
      </c>
      <c r="F15">
        <v>4</v>
      </c>
      <c r="G15">
        <v>8</v>
      </c>
      <c r="H15" t="s">
        <v>199</v>
      </c>
      <c r="I15" t="s">
        <v>2145</v>
      </c>
    </row>
    <row r="16" spans="1:9">
      <c r="A16" t="s">
        <v>74</v>
      </c>
      <c r="B16" t="s">
        <v>227</v>
      </c>
      <c r="C16">
        <v>6</v>
      </c>
      <c r="D16">
        <v>0</v>
      </c>
      <c r="E16">
        <v>18</v>
      </c>
      <c r="F16">
        <v>18</v>
      </c>
      <c r="G16">
        <v>24</v>
      </c>
      <c r="H16" t="s">
        <v>197</v>
      </c>
      <c r="I16" t="s">
        <v>2145</v>
      </c>
    </row>
    <row r="17" spans="1:9">
      <c r="A17" t="s">
        <v>78</v>
      </c>
      <c r="B17" t="s">
        <v>227</v>
      </c>
      <c r="C17">
        <v>5</v>
      </c>
      <c r="D17">
        <v>0</v>
      </c>
      <c r="E17">
        <v>4</v>
      </c>
      <c r="F17">
        <v>4</v>
      </c>
      <c r="G17">
        <v>9</v>
      </c>
      <c r="H17" t="s">
        <v>197</v>
      </c>
      <c r="I17" t="s">
        <v>2145</v>
      </c>
    </row>
    <row r="18" spans="1:9">
      <c r="A18" t="s">
        <v>81</v>
      </c>
      <c r="B18" t="s">
        <v>227</v>
      </c>
      <c r="C18">
        <v>11</v>
      </c>
      <c r="D18">
        <v>0</v>
      </c>
      <c r="E18">
        <v>17</v>
      </c>
      <c r="F18">
        <v>17</v>
      </c>
      <c r="G18">
        <v>28</v>
      </c>
      <c r="H18" t="s">
        <v>197</v>
      </c>
      <c r="I18" t="s">
        <v>2145</v>
      </c>
    </row>
    <row r="19" spans="1:9">
      <c r="A19" t="s">
        <v>84</v>
      </c>
      <c r="B19" t="s">
        <v>227</v>
      </c>
      <c r="C19">
        <v>3</v>
      </c>
      <c r="D19">
        <v>0</v>
      </c>
      <c r="E19">
        <v>7</v>
      </c>
      <c r="F19">
        <v>7</v>
      </c>
      <c r="G19">
        <v>10</v>
      </c>
      <c r="H19" t="s">
        <v>199</v>
      </c>
      <c r="I19" t="s">
        <v>2145</v>
      </c>
    </row>
    <row r="20" spans="1:9">
      <c r="A20" t="s">
        <v>87</v>
      </c>
      <c r="B20" t="s">
        <v>1029</v>
      </c>
      <c r="C20">
        <v>7</v>
      </c>
      <c r="D20">
        <v>0</v>
      </c>
      <c r="E20">
        <v>8</v>
      </c>
      <c r="F20">
        <v>8</v>
      </c>
      <c r="G20">
        <v>15</v>
      </c>
      <c r="H20" t="s">
        <v>197</v>
      </c>
      <c r="I20" t="s">
        <v>2145</v>
      </c>
    </row>
    <row r="21" spans="1:9">
      <c r="A21" t="s">
        <v>91</v>
      </c>
      <c r="B21" t="s">
        <v>1029</v>
      </c>
      <c r="C21">
        <v>5</v>
      </c>
      <c r="D21">
        <v>0</v>
      </c>
      <c r="E21">
        <v>10</v>
      </c>
      <c r="F21">
        <v>10</v>
      </c>
      <c r="G21">
        <v>15</v>
      </c>
      <c r="H21" t="s">
        <v>197</v>
      </c>
      <c r="I21" t="s">
        <v>2145</v>
      </c>
    </row>
    <row r="22" spans="1:9">
      <c r="A22" t="s">
        <v>94</v>
      </c>
      <c r="B22" t="s">
        <v>1029</v>
      </c>
      <c r="C22">
        <v>5</v>
      </c>
      <c r="D22">
        <v>0</v>
      </c>
      <c r="E22">
        <v>7</v>
      </c>
      <c r="F22">
        <v>7</v>
      </c>
      <c r="G22">
        <v>12</v>
      </c>
      <c r="H22" t="s">
        <v>197</v>
      </c>
      <c r="I22" t="s">
        <v>2145</v>
      </c>
    </row>
    <row r="23" spans="1:9">
      <c r="A23" t="s">
        <v>97</v>
      </c>
      <c r="B23" t="s">
        <v>1112</v>
      </c>
      <c r="C23">
        <v>5</v>
      </c>
      <c r="D23">
        <v>0</v>
      </c>
      <c r="E23">
        <v>9</v>
      </c>
      <c r="F23">
        <v>9</v>
      </c>
      <c r="G23">
        <v>14</v>
      </c>
      <c r="H23" t="s">
        <v>197</v>
      </c>
      <c r="I23" t="s">
        <v>2145</v>
      </c>
    </row>
    <row r="24" spans="1:9">
      <c r="A24" t="s">
        <v>100</v>
      </c>
      <c r="B24" t="s">
        <v>1029</v>
      </c>
      <c r="C24">
        <v>3</v>
      </c>
      <c r="D24">
        <v>0</v>
      </c>
      <c r="E24">
        <v>5</v>
      </c>
      <c r="F24">
        <v>5</v>
      </c>
      <c r="G24">
        <v>8</v>
      </c>
      <c r="H24" t="s">
        <v>197</v>
      </c>
      <c r="I24" t="s">
        <v>2145</v>
      </c>
    </row>
    <row r="25" spans="1:9">
      <c r="A25" t="s">
        <v>103</v>
      </c>
      <c r="B25" t="s">
        <v>1029</v>
      </c>
      <c r="C25">
        <v>2</v>
      </c>
      <c r="D25">
        <v>0</v>
      </c>
      <c r="E25">
        <v>5</v>
      </c>
      <c r="F25">
        <v>5</v>
      </c>
      <c r="G25">
        <v>7</v>
      </c>
      <c r="H25" t="s">
        <v>197</v>
      </c>
      <c r="I25" t="s">
        <v>2145</v>
      </c>
    </row>
    <row r="26" spans="1:9">
      <c r="A26" t="s">
        <v>106</v>
      </c>
      <c r="B26" t="s">
        <v>1029</v>
      </c>
      <c r="C26">
        <v>2</v>
      </c>
      <c r="D26">
        <v>0</v>
      </c>
      <c r="E26">
        <v>4</v>
      </c>
      <c r="F26">
        <v>4</v>
      </c>
      <c r="G26">
        <v>6</v>
      </c>
      <c r="H26" t="s">
        <v>197</v>
      </c>
      <c r="I26" t="s">
        <v>2145</v>
      </c>
    </row>
    <row r="27" spans="1:9">
      <c r="A27" t="s">
        <v>109</v>
      </c>
      <c r="B27" t="s">
        <v>1029</v>
      </c>
      <c r="C27">
        <v>7</v>
      </c>
      <c r="D27">
        <v>0</v>
      </c>
      <c r="E27">
        <v>7</v>
      </c>
      <c r="F27">
        <v>7</v>
      </c>
      <c r="G27">
        <v>14</v>
      </c>
      <c r="H27" t="s">
        <v>197</v>
      </c>
      <c r="I27" t="s">
        <v>2145</v>
      </c>
    </row>
    <row r="28" spans="1:9">
      <c r="A28" t="s">
        <v>112</v>
      </c>
      <c r="B28" t="s">
        <v>654</v>
      </c>
      <c r="C28">
        <v>22</v>
      </c>
      <c r="D28">
        <v>0</v>
      </c>
      <c r="E28">
        <v>25</v>
      </c>
      <c r="F28">
        <v>25</v>
      </c>
      <c r="G28">
        <v>47</v>
      </c>
      <c r="H28" t="s">
        <v>197</v>
      </c>
      <c r="I28" t="s">
        <v>2145</v>
      </c>
    </row>
    <row r="29" spans="1:9">
      <c r="A29" t="s">
        <v>115</v>
      </c>
      <c r="B29" t="s">
        <v>654</v>
      </c>
      <c r="C29">
        <v>2</v>
      </c>
      <c r="D29">
        <v>0</v>
      </c>
      <c r="E29">
        <v>6</v>
      </c>
      <c r="F29">
        <v>6</v>
      </c>
      <c r="G29">
        <v>8</v>
      </c>
      <c r="H29" t="s">
        <v>197</v>
      </c>
      <c r="I29" t="s">
        <v>2145</v>
      </c>
    </row>
    <row r="30" spans="1:9">
      <c r="A30" t="s">
        <v>118</v>
      </c>
      <c r="B30" t="s">
        <v>654</v>
      </c>
      <c r="C30">
        <v>2</v>
      </c>
      <c r="D30">
        <v>0</v>
      </c>
      <c r="E30">
        <v>5</v>
      </c>
      <c r="F30">
        <v>5</v>
      </c>
      <c r="G30">
        <v>7</v>
      </c>
      <c r="H30" t="s">
        <v>197</v>
      </c>
      <c r="I30" t="s">
        <v>2145</v>
      </c>
    </row>
    <row r="31" spans="1:9">
      <c r="A31" t="s">
        <v>121</v>
      </c>
      <c r="B31" t="s">
        <v>654</v>
      </c>
      <c r="C31">
        <v>2</v>
      </c>
      <c r="D31">
        <v>0</v>
      </c>
      <c r="E31">
        <v>4</v>
      </c>
      <c r="F31">
        <v>4</v>
      </c>
      <c r="G31">
        <v>6</v>
      </c>
      <c r="H31" t="s">
        <v>197</v>
      </c>
      <c r="I31" t="s">
        <v>2145</v>
      </c>
    </row>
    <row r="32" spans="1:9">
      <c r="A32" t="s">
        <v>124</v>
      </c>
      <c r="B32" t="s">
        <v>672</v>
      </c>
      <c r="C32">
        <v>20</v>
      </c>
      <c r="D32">
        <v>0</v>
      </c>
      <c r="E32">
        <v>41</v>
      </c>
      <c r="F32">
        <v>41</v>
      </c>
      <c r="G32">
        <v>61</v>
      </c>
      <c r="H32" t="s">
        <v>197</v>
      </c>
      <c r="I32" t="s">
        <v>2145</v>
      </c>
    </row>
    <row r="33" spans="1:9">
      <c r="A33" t="s">
        <v>127</v>
      </c>
      <c r="B33" t="s">
        <v>672</v>
      </c>
      <c r="C33">
        <v>7</v>
      </c>
      <c r="D33">
        <v>0</v>
      </c>
      <c r="E33">
        <v>17</v>
      </c>
      <c r="F33">
        <v>17</v>
      </c>
      <c r="G33">
        <v>24</v>
      </c>
      <c r="H33" t="s">
        <v>197</v>
      </c>
      <c r="I33" t="s">
        <v>2145</v>
      </c>
    </row>
    <row r="34" spans="1:9">
      <c r="A34" t="s">
        <v>130</v>
      </c>
      <c r="B34" t="s">
        <v>672</v>
      </c>
      <c r="C34">
        <v>5</v>
      </c>
      <c r="D34">
        <v>0</v>
      </c>
      <c r="E34">
        <v>5</v>
      </c>
      <c r="F34">
        <v>5</v>
      </c>
      <c r="G34">
        <v>10</v>
      </c>
      <c r="H34" t="s">
        <v>197</v>
      </c>
      <c r="I34" t="s">
        <v>2145</v>
      </c>
    </row>
    <row r="35" spans="1:9">
      <c r="A35" t="s">
        <v>133</v>
      </c>
      <c r="B35" t="s">
        <v>672</v>
      </c>
      <c r="C35">
        <v>8</v>
      </c>
      <c r="D35">
        <v>0</v>
      </c>
      <c r="E35">
        <v>8</v>
      </c>
      <c r="F35">
        <v>8</v>
      </c>
      <c r="G35">
        <v>16</v>
      </c>
      <c r="H35" t="s">
        <v>197</v>
      </c>
      <c r="I35" t="s">
        <v>2145</v>
      </c>
    </row>
    <row r="36" spans="1:9">
      <c r="A36" t="s">
        <v>136</v>
      </c>
      <c r="B36" t="s">
        <v>672</v>
      </c>
      <c r="C36">
        <v>2</v>
      </c>
      <c r="D36">
        <v>0</v>
      </c>
      <c r="E36">
        <v>7</v>
      </c>
      <c r="F36">
        <v>7</v>
      </c>
      <c r="G36">
        <v>9</v>
      </c>
      <c r="H36" t="s">
        <v>197</v>
      </c>
      <c r="I36" t="s">
        <v>2145</v>
      </c>
    </row>
    <row r="37" spans="1:9">
      <c r="A37" t="s">
        <v>139</v>
      </c>
      <c r="B37" t="s">
        <v>1112</v>
      </c>
      <c r="C37">
        <v>5</v>
      </c>
      <c r="D37">
        <v>5</v>
      </c>
      <c r="E37">
        <v>17</v>
      </c>
      <c r="F37">
        <v>22</v>
      </c>
      <c r="G37">
        <v>22</v>
      </c>
      <c r="H37" t="s">
        <v>197</v>
      </c>
      <c r="I37" t="s">
        <v>2145</v>
      </c>
    </row>
    <row r="38" spans="1:9">
      <c r="A38" t="s">
        <v>142</v>
      </c>
      <c r="B38" t="s">
        <v>1112</v>
      </c>
      <c r="C38">
        <v>3</v>
      </c>
      <c r="D38">
        <v>0</v>
      </c>
      <c r="E38">
        <v>15</v>
      </c>
      <c r="F38">
        <v>15</v>
      </c>
      <c r="G38">
        <v>18</v>
      </c>
      <c r="H38" t="s">
        <v>197</v>
      </c>
      <c r="I38" t="s">
        <v>2145</v>
      </c>
    </row>
    <row r="39" spans="1:9">
      <c r="A39" t="s">
        <v>145</v>
      </c>
      <c r="B39" t="s">
        <v>1112</v>
      </c>
      <c r="C39">
        <v>2</v>
      </c>
      <c r="D39">
        <v>0</v>
      </c>
      <c r="E39">
        <v>5</v>
      </c>
      <c r="F39">
        <v>5</v>
      </c>
      <c r="G39">
        <v>7</v>
      </c>
      <c r="H39" t="s">
        <v>197</v>
      </c>
      <c r="I39" t="s">
        <v>2145</v>
      </c>
    </row>
    <row r="40" spans="1:9">
      <c r="A40" t="s">
        <v>148</v>
      </c>
      <c r="B40" t="s">
        <v>1112</v>
      </c>
      <c r="C40">
        <v>4</v>
      </c>
      <c r="D40">
        <v>0</v>
      </c>
      <c r="E40">
        <v>5</v>
      </c>
      <c r="F40">
        <v>5</v>
      </c>
      <c r="G40">
        <v>9</v>
      </c>
      <c r="H40" t="s">
        <v>197</v>
      </c>
      <c r="I40" t="s">
        <v>2145</v>
      </c>
    </row>
    <row r="41" spans="1:9">
      <c r="A41" t="s">
        <v>151</v>
      </c>
      <c r="B41" t="s">
        <v>1112</v>
      </c>
      <c r="C41">
        <v>8</v>
      </c>
      <c r="D41">
        <v>0</v>
      </c>
      <c r="E41">
        <v>16</v>
      </c>
      <c r="F41">
        <v>16</v>
      </c>
      <c r="G41">
        <v>24</v>
      </c>
      <c r="H41" t="s">
        <v>197</v>
      </c>
      <c r="I41" t="s">
        <v>2145</v>
      </c>
    </row>
    <row r="42" spans="1:9">
      <c r="A42" t="s">
        <v>154</v>
      </c>
      <c r="B42" t="s">
        <v>1112</v>
      </c>
      <c r="C42">
        <v>0</v>
      </c>
      <c r="D42">
        <v>0</v>
      </c>
      <c r="E42">
        <v>11</v>
      </c>
      <c r="F42">
        <v>11</v>
      </c>
      <c r="G42">
        <v>11</v>
      </c>
      <c r="H42" t="s">
        <v>197</v>
      </c>
      <c r="I42" t="s">
        <v>2145</v>
      </c>
    </row>
    <row r="43" spans="1:9">
      <c r="A43" t="s">
        <v>157</v>
      </c>
      <c r="B43" t="s">
        <v>672</v>
      </c>
      <c r="C43">
        <v>2</v>
      </c>
      <c r="D43">
        <v>0</v>
      </c>
      <c r="E43">
        <v>6</v>
      </c>
      <c r="F43">
        <v>6</v>
      </c>
      <c r="G43">
        <v>8</v>
      </c>
      <c r="H43" t="s">
        <v>199</v>
      </c>
      <c r="I43" t="s">
        <v>2145</v>
      </c>
    </row>
    <row r="44" spans="1:9">
      <c r="A44" t="s">
        <v>160</v>
      </c>
      <c r="B44" t="s">
        <v>672</v>
      </c>
      <c r="C44">
        <v>2</v>
      </c>
      <c r="D44">
        <v>0</v>
      </c>
      <c r="E44">
        <v>5</v>
      </c>
      <c r="F44">
        <v>5</v>
      </c>
      <c r="G44">
        <v>7</v>
      </c>
      <c r="H44" t="s">
        <v>199</v>
      </c>
      <c r="I44" t="s">
        <v>2145</v>
      </c>
    </row>
    <row r="45" spans="1:9">
      <c r="A45" t="s">
        <v>163</v>
      </c>
      <c r="B45" t="s">
        <v>672</v>
      </c>
      <c r="C45">
        <v>2</v>
      </c>
      <c r="D45">
        <v>0</v>
      </c>
      <c r="E45">
        <v>6</v>
      </c>
      <c r="F45">
        <v>6</v>
      </c>
      <c r="G45">
        <v>8</v>
      </c>
      <c r="H45" t="s">
        <v>199</v>
      </c>
      <c r="I45" t="s">
        <v>2145</v>
      </c>
    </row>
    <row r="46" spans="1:9">
      <c r="A46" t="s">
        <v>166</v>
      </c>
      <c r="B46" t="s">
        <v>654</v>
      </c>
      <c r="C46">
        <v>10</v>
      </c>
      <c r="D46">
        <v>0</v>
      </c>
      <c r="E46">
        <v>12</v>
      </c>
      <c r="F46">
        <v>12</v>
      </c>
      <c r="G46">
        <v>22</v>
      </c>
      <c r="H46" t="s">
        <v>197</v>
      </c>
      <c r="I46" t="s">
        <v>2145</v>
      </c>
    </row>
    <row r="47" spans="1:9">
      <c r="A47" t="s">
        <v>169</v>
      </c>
      <c r="B47" t="s">
        <v>654</v>
      </c>
      <c r="C47">
        <v>2</v>
      </c>
      <c r="D47">
        <v>0</v>
      </c>
      <c r="E47">
        <v>4</v>
      </c>
      <c r="F47">
        <v>4</v>
      </c>
      <c r="G47">
        <v>6</v>
      </c>
      <c r="H47" t="s">
        <v>199</v>
      </c>
      <c r="I47" t="s">
        <v>2145</v>
      </c>
    </row>
    <row r="48" spans="1:9">
      <c r="A48" t="s">
        <v>172</v>
      </c>
      <c r="B48" t="s">
        <v>654</v>
      </c>
      <c r="C48">
        <v>9</v>
      </c>
      <c r="D48">
        <v>0</v>
      </c>
      <c r="E48">
        <v>3</v>
      </c>
      <c r="F48">
        <v>3</v>
      </c>
      <c r="G48">
        <v>12</v>
      </c>
      <c r="H48" t="s">
        <v>197</v>
      </c>
      <c r="I48" t="s">
        <v>2145</v>
      </c>
    </row>
    <row r="49" spans="1:9">
      <c r="A49" t="s">
        <v>175</v>
      </c>
      <c r="B49" t="s">
        <v>672</v>
      </c>
      <c r="C49">
        <v>11</v>
      </c>
      <c r="D49">
        <v>0</v>
      </c>
      <c r="E49">
        <v>28</v>
      </c>
      <c r="F49">
        <v>28</v>
      </c>
      <c r="G49">
        <v>39</v>
      </c>
      <c r="H49" t="s">
        <v>197</v>
      </c>
      <c r="I49" t="s">
        <v>2145</v>
      </c>
    </row>
    <row r="50" spans="1:9">
      <c r="A50" t="s">
        <v>178</v>
      </c>
      <c r="B50" t="s">
        <v>1029</v>
      </c>
      <c r="C50">
        <v>2</v>
      </c>
      <c r="D50">
        <v>0</v>
      </c>
      <c r="E50">
        <v>8</v>
      </c>
      <c r="F50">
        <v>8</v>
      </c>
      <c r="G50">
        <v>10</v>
      </c>
      <c r="H50" t="s">
        <v>197</v>
      </c>
      <c r="I50" t="s">
        <v>2145</v>
      </c>
    </row>
    <row r="51" spans="1:9">
      <c r="A51" t="s">
        <v>181</v>
      </c>
      <c r="B51" t="s">
        <v>1029</v>
      </c>
      <c r="C51">
        <v>5</v>
      </c>
      <c r="D51">
        <v>0</v>
      </c>
      <c r="E51">
        <v>0</v>
      </c>
      <c r="F51">
        <v>0</v>
      </c>
      <c r="G51">
        <v>5</v>
      </c>
      <c r="H51" t="s">
        <v>198</v>
      </c>
      <c r="I51" t="s">
        <v>2145</v>
      </c>
    </row>
    <row r="52" spans="1:9">
      <c r="A52" t="s">
        <v>184</v>
      </c>
      <c r="B52" t="s">
        <v>654</v>
      </c>
      <c r="C52">
        <v>5</v>
      </c>
      <c r="D52">
        <v>0</v>
      </c>
      <c r="E52">
        <v>6</v>
      </c>
      <c r="F52">
        <v>6</v>
      </c>
      <c r="G52">
        <v>11</v>
      </c>
      <c r="H52" t="s">
        <v>197</v>
      </c>
      <c r="I52" t="s">
        <v>2145</v>
      </c>
    </row>
    <row r="53" spans="1:9">
      <c r="A53" t="s">
        <v>187</v>
      </c>
      <c r="B53" t="s">
        <v>654</v>
      </c>
      <c r="C53">
        <v>10</v>
      </c>
      <c r="D53">
        <v>0</v>
      </c>
      <c r="E53">
        <v>11</v>
      </c>
      <c r="F53">
        <v>11</v>
      </c>
      <c r="G53">
        <v>21</v>
      </c>
      <c r="H53" t="s">
        <v>197</v>
      </c>
      <c r="I53" t="s">
        <v>2145</v>
      </c>
    </row>
    <row r="54" spans="1:9">
      <c r="A54" t="s">
        <v>190</v>
      </c>
      <c r="B54" t="s">
        <v>654</v>
      </c>
      <c r="C54">
        <v>2</v>
      </c>
      <c r="D54">
        <v>0</v>
      </c>
      <c r="E54">
        <v>5</v>
      </c>
      <c r="F54">
        <v>5</v>
      </c>
      <c r="G54">
        <v>7</v>
      </c>
      <c r="H54" t="s">
        <v>199</v>
      </c>
      <c r="I54" t="s">
        <v>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Cover</vt:lpstr>
      <vt:lpstr>Test Cases</vt:lpstr>
      <vt:lpstr>Test Statistics</vt:lpstr>
      <vt:lpstr>MASTER-01</vt:lpstr>
      <vt:lpstr>MASTER-02</vt:lpstr>
      <vt:lpstr>MASTER-03</vt:lpstr>
      <vt:lpstr>MASTER-04</vt:lpstr>
      <vt:lpstr>MASTER-05</vt:lpstr>
      <vt:lpstr>MASTER-06</vt:lpstr>
      <vt:lpstr>MASTER-07</vt:lpstr>
      <vt:lpstr>MASTER-08</vt:lpstr>
      <vt:lpstr>ASSESS-01</vt:lpstr>
      <vt:lpstr>ASSESS-02</vt:lpstr>
      <vt:lpstr>ASSESS-03</vt:lpstr>
      <vt:lpstr>ASSESS-04</vt:lpstr>
      <vt:lpstr>ASSESS-05</vt:lpstr>
      <vt:lpstr>AUTH-01</vt:lpstr>
      <vt:lpstr>AUTH-02</vt:lpstr>
      <vt:lpstr>AUTH-03</vt:lpstr>
      <vt:lpstr>AUTH-04</vt:lpstr>
      <vt:lpstr>AUTH-05</vt:lpstr>
      <vt:lpstr>COMPANY-01</vt:lpstr>
      <vt:lpstr>COMPANY-02</vt:lpstr>
      <vt:lpstr>COMPANY-02-Tenant-Landing-Page</vt:lpstr>
      <vt:lpstr>CV-01</vt:lpstr>
      <vt:lpstr>CV-02</vt:lpstr>
      <vt:lpstr>CV-03</vt:lpstr>
      <vt:lpstr>CV-04</vt:lpstr>
      <vt:lpstr>CV-05</vt:lpstr>
      <vt:lpstr>CV-06</vt:lpstr>
      <vt:lpstr>DASH-01</vt:lpstr>
      <vt:lpstr>DASH-02</vt:lpstr>
      <vt:lpstr>DASH-03</vt:lpstr>
      <vt:lpstr>INT-01</vt:lpstr>
      <vt:lpstr>INT-02</vt:lpstr>
      <vt:lpstr>INT-03</vt:lpstr>
      <vt:lpstr>INT-04</vt:lpstr>
      <vt:lpstr>INT-05</vt:lpstr>
      <vt:lpstr>JOB-01</vt:lpstr>
      <vt:lpstr>JOB-02</vt:lpstr>
      <vt:lpstr>JOB-03</vt:lpstr>
      <vt:lpstr>JOB-04</vt:lpstr>
      <vt:lpstr>JOB-05</vt:lpstr>
      <vt:lpstr>JOB-06</vt:lpstr>
      <vt:lpstr>PRACT-01</vt:lpstr>
      <vt:lpstr>PRACT-02</vt:lpstr>
      <vt:lpstr>PRACT-03</vt:lpstr>
      <vt:lpstr>RANK-01</vt:lpstr>
      <vt:lpstr>RANK-02</vt:lpstr>
      <vt:lpstr>RANK-03</vt:lpstr>
      <vt:lpstr>SCHED-01</vt:lpstr>
      <vt:lpstr>SCHED-02</vt:lpstr>
      <vt:lpstr>SCHED-03</vt:lpstr>
      <vt:lpstr>WF-01</vt:lpstr>
      <vt:lpstr>WF-02</vt:lpstr>
      <vt:lpstr>WF-03</vt:lpstr>
      <vt:lpstr>_Template</vt:lpstr>
      <vt:lpstr>_Progress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Nguyen Minh Hieu</cp:lastModifiedBy>
  <cp:lastPrinted>2010-11-12T10:33:20Z</cp:lastPrinted>
  <dcterms:created xsi:type="dcterms:W3CDTF">2020-03-17T17:34:29Z</dcterms:created>
  <dcterms:modified xsi:type="dcterms:W3CDTF">2026-10-14T16:00:07Z</dcterms:modified>
  <cp:category>BM</cp:category>
</cp:coreProperties>
</file>